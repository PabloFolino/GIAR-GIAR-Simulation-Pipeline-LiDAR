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Objects" sheetId="2" state="visible" r:id="rId4"/>
    <sheet name="Lists" sheetId="3" state="hidden" r:id="rId5"/>
  </sheets>
  <definedNames>
    <definedName function="false" hidden="true" localSheetId="0" name="_xlnm._FilterDatabase" vbProcedure="false">Components!$A$1:$K$33</definedName>
    <definedName function="false" hidden="true" localSheetId="1" name="_xlnm._FilterDatabase" vbProcedure="false">Objects!$A$1:$AD$35</definedName>
    <definedName function="false" hidden="false" name="Boolean" vbProcedure="false">Lists!$B$2:$B$3</definedName>
    <definedName function="false" hidden="false" name="ComponentNames" vbProcedure="false">Lists!$A$2:$A$33</definedName>
    <definedName function="false" hidden="false" name="ComponentType" vbProcedure="false">Lists!$C$2:$C$9</definedName>
    <definedName function="false" hidden="false" name="JointType" vbProcedure="false">Lists!$F$2:$F$4</definedName>
    <definedName function="false" hidden="false" name="MotorMode" vbProcedure="false">Lists!$H$2:$H$4</definedName>
    <definedName function="false" hidden="false" name="ObjectType" vbProcedure="false">Lists!$D$2:$D$12</definedName>
    <definedName function="false" hidden="false" name="ReferenceFrame" vbProcedure="false">Lists!$E$2:$E$3</definedName>
    <definedName function="false" hidden="false" name="Status" vbProcedure="false">Lists!$G$2:$G$6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<sst xmlns="http://schemas.openxmlformats.org/spreadsheetml/2006/main" count="377" uniqueCount="106">
  <si>
    <t xml:space="preserve">ID</t>
  </si>
  <si>
    <t xml:space="preserve">Name</t>
  </si>
  <si>
    <t xml:space="preserve">Type</t>
  </si>
  <si>
    <t xml:space="preserve">Description</t>
  </si>
  <si>
    <t xml:space="preserve">Enabled</t>
  </si>
  <si>
    <t xml:space="preserve">Parent Name</t>
  </si>
  <si>
    <t xml:space="preserve">Parent ID</t>
  </si>
  <si>
    <t xml:space="preserve">Visual</t>
  </si>
  <si>
    <t xml:space="preserve">Simulation</t>
  </si>
  <si>
    <t xml:space="preserve">Status</t>
  </si>
  <si>
    <t xml:space="preserve">Notes</t>
  </si>
  <si>
    <t xml:space="preserve">Anillo_deslizante</t>
  </si>
  <si>
    <t xml:space="preserve">Mechanical</t>
  </si>
  <si>
    <t xml:space="preserve">Base</t>
  </si>
  <si>
    <t xml:space="preserve">IN_PROGRESS</t>
  </si>
  <si>
    <t xml:space="preserve">Apoya_base</t>
  </si>
  <si>
    <t xml:space="preserve">Cabezal_giratorio</t>
  </si>
  <si>
    <t xml:space="preserve">Ruleman_60082RSC3</t>
  </si>
  <si>
    <t xml:space="preserve">Cierre_base</t>
  </si>
  <si>
    <t xml:space="preserve">Conector_imantado_apoya_base</t>
  </si>
  <si>
    <t xml:space="preserve">Electronic</t>
  </si>
  <si>
    <t xml:space="preserve">Conector_imantado_base</t>
  </si>
  <si>
    <t xml:space="preserve">ESP_32</t>
  </si>
  <si>
    <t xml:space="preserve">Hall_base</t>
  </si>
  <si>
    <t xml:space="preserve">Sensor</t>
  </si>
  <si>
    <t xml:space="preserve">Hall_lidar</t>
  </si>
  <si>
    <t xml:space="preserve">Iman_hall_base</t>
  </si>
  <si>
    <t xml:space="preserve">Tapa_base</t>
  </si>
  <si>
    <t xml:space="preserve">Imanes_apoya_base</t>
  </si>
  <si>
    <t xml:space="preserve">Imanes_base</t>
  </si>
  <si>
    <t xml:space="preserve">Led_apoya_base</t>
  </si>
  <si>
    <t xml:space="preserve">Led_base</t>
  </si>
  <si>
    <t xml:space="preserve">LIDAR</t>
  </si>
  <si>
    <t xml:space="preserve">Porta_lidar</t>
  </si>
  <si>
    <t xml:space="preserve">Micromotor</t>
  </si>
  <si>
    <t xml:space="preserve">NEMA17</t>
  </si>
  <si>
    <t xml:space="preserve">Polea_GT2_20D</t>
  </si>
  <si>
    <t xml:space="preserve">Rulemanes_696</t>
  </si>
  <si>
    <t xml:space="preserve">Power_12V</t>
  </si>
  <si>
    <t xml:space="preserve">Power_5V_A</t>
  </si>
  <si>
    <t xml:space="preserve">Reset_base</t>
  </si>
  <si>
    <t xml:space="preserve">Actuator</t>
  </si>
  <si>
    <t xml:space="preserve">Sujeta_NEMA17</t>
  </si>
  <si>
    <t xml:space="preserve">Sujeta_Ruleman</t>
  </si>
  <si>
    <t xml:space="preserve">Sujeta_TMC_base</t>
  </si>
  <si>
    <t xml:space="preserve">TMC_2208_XY</t>
  </si>
  <si>
    <t xml:space="preserve">TMC_2208_Z</t>
  </si>
  <si>
    <t xml:space="preserve">Tornillos_base</t>
  </si>
  <si>
    <t xml:space="preserve">Component ID</t>
  </si>
  <si>
    <t xml:space="preserve">Component Name</t>
  </si>
  <si>
    <t xml:space="preserve">Object Name</t>
  </si>
  <si>
    <t xml:space="preserve">Object Type</t>
  </si>
  <si>
    <t xml:space="preserve">Reference Frame</t>
  </si>
  <si>
    <t xml:space="preserve">Dynamic</t>
  </si>
  <si>
    <t xml:space="preserve">Respondable</t>
  </si>
  <si>
    <t xml:space="preserve">Visible</t>
  </si>
  <si>
    <t xml:space="preserve">Collidable</t>
  </si>
  <si>
    <t xml:space="preserve">Detectable</t>
  </si>
  <si>
    <t xml:space="preserve">Measurable</t>
  </si>
  <si>
    <t xml:space="preserve">Pos X</t>
  </si>
  <si>
    <t xml:space="preserve">Pos Y</t>
  </si>
  <si>
    <t xml:space="preserve">Pos Z</t>
  </si>
  <si>
    <t xml:space="preserve">Rot X</t>
  </si>
  <si>
    <t xml:space="preserve">Rot Y</t>
  </si>
  <si>
    <t xml:space="preserve">Rot Z</t>
  </si>
  <si>
    <t xml:space="preserve">BBox Min X</t>
  </si>
  <si>
    <t xml:space="preserve">BBox Min Y</t>
  </si>
  <si>
    <t xml:space="preserve">BBox Min Z</t>
  </si>
  <si>
    <t xml:space="preserve">BBox Size X</t>
  </si>
  <si>
    <t xml:space="preserve">BBox Size Y</t>
  </si>
  <si>
    <t xml:space="preserve">BBox Size Z</t>
  </si>
  <si>
    <t xml:space="preserve">Joint Type</t>
  </si>
  <si>
    <t xml:space="preserve">Cyclic</t>
  </si>
  <si>
    <t xml:space="preserve">Lower Limit</t>
  </si>
  <si>
    <t xml:space="preserve">Upper Limit</t>
  </si>
  <si>
    <t xml:space="preserve">Motor</t>
  </si>
  <si>
    <t xml:space="preserve">Shape</t>
  </si>
  <si>
    <t xml:space="preserve">parent</t>
  </si>
  <si>
    <t xml:space="preserve">Proximity Sensor</t>
  </si>
  <si>
    <t xml:space="preserve">Joint</t>
  </si>
  <si>
    <t xml:space="preserve">Prismatic</t>
  </si>
  <si>
    <t xml:space="preserve">Position</t>
  </si>
  <si>
    <t xml:space="preserve">Boolean</t>
  </si>
  <si>
    <t xml:space="preserve">Component Type</t>
  </si>
  <si>
    <t xml:space="preserve">Motor Mode</t>
  </si>
  <si>
    <t xml:space="preserve">Revolute</t>
  </si>
  <si>
    <t xml:space="preserve">NEW</t>
  </si>
  <si>
    <t xml:space="preserve">Electrical</t>
  </si>
  <si>
    <t xml:space="preserve">world</t>
  </si>
  <si>
    <t xml:space="preserve">Velocity</t>
  </si>
  <si>
    <t xml:space="preserve">Dummy</t>
  </si>
  <si>
    <t xml:space="preserve">Spherical</t>
  </si>
  <si>
    <t xml:space="preserve">REVIEWED</t>
  </si>
  <si>
    <t xml:space="preserve">Torque</t>
  </si>
  <si>
    <t xml:space="preserve">Camera</t>
  </si>
  <si>
    <t xml:space="preserve">VERIFIED</t>
  </si>
  <si>
    <t xml:space="preserve">Light</t>
  </si>
  <si>
    <t xml:space="preserve">DONE</t>
  </si>
  <si>
    <t xml:space="preserve">Structure</t>
  </si>
  <si>
    <t xml:space="preserve">Vision Sensor</t>
  </si>
  <si>
    <t xml:space="preserve">Fastener</t>
  </si>
  <si>
    <t xml:space="preserve">Other</t>
  </si>
  <si>
    <t xml:space="preserve">Force Sensor</t>
  </si>
  <si>
    <t xml:space="preserve">Path</t>
  </si>
  <si>
    <t xml:space="preserve">Point Cloud</t>
  </si>
  <si>
    <t xml:space="preserve">Octree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</si>
</sst>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D7"/>
      </patternFill>
    </fill>
    <fill>
      <patternFill patternType="solid">
        <fgColor rgb="FFFFFFD7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7.97"/>
    <col collapsed="false" customWidth="true" hidden="false" outlineLevel="0" max="5" min="5" style="1" width="12"/>
    <col collapsed="false" customWidth="true" hidden="false" outlineLevel="0" max="6" min="6" style="1" width="16.5"/>
    <col collapsed="false" customWidth="true" hidden="false" outlineLevel="0" max="7" min="7" style="1" width="17.57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5"/>
    <col collapsed="false" customWidth="true" hidden="false" outlineLevel="0" max="11" min="11" style="1" width="40"/>
    <col collapsed="false" customWidth="false" hidden="false" outlineLevel="0" max="16384" min="12" style="1" width="8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4" t="n">
        <v>1</v>
      </c>
      <c r="B2" s="4" t="s">
        <v>11</v>
      </c>
      <c r="C2" s="5" t="s">
        <v>12</v>
      </c>
      <c r="D2" s="6"/>
      <c r="E2" s="4" t="b">
        <f aca="false">OR(H2,I2)</f>
        <v>0</v>
      </c>
      <c r="F2" s="5" t="s">
        <v>13</v>
      </c>
      <c r="G2" s="5" t="s">
        <v>13</v>
      </c>
      <c r="H2" s="7" t="b">
        <f aca="false">FALSE()</f>
        <v>0</v>
      </c>
      <c r="I2" s="7" t="b">
        <f aca="false">FALSE()</f>
        <v>0</v>
      </c>
      <c r="J2" s="8" t="s">
        <v>14</v>
      </c>
      <c r="K2" s="6"/>
    </row>
    <row r="3" customFormat="false" ht="15" hidden="false" customHeight="false" outlineLevel="0" collapsed="false">
      <c r="A3" s="4" t="n">
        <v>2</v>
      </c>
      <c r="B3" s="4" t="s">
        <v>15</v>
      </c>
      <c r="C3" s="5" t="s">
        <v>12</v>
      </c>
      <c r="D3" s="6"/>
      <c r="E3" s="4" t="b">
        <f aca="false">OR(H3,I3)</f>
        <v>1</v>
      </c>
      <c r="F3" s="5"/>
      <c r="G3" s="5"/>
      <c r="H3" s="7" t="b">
        <f aca="false">TRUE()</f>
        <v>1</v>
      </c>
      <c r="I3" s="7" t="b">
        <f aca="false">TRUE()</f>
        <v>1</v>
      </c>
      <c r="J3" s="8" t="s">
        <v>14</v>
      </c>
      <c r="K3" s="6"/>
    </row>
    <row r="4" customFormat="false" ht="15" hidden="false" customHeight="false" outlineLevel="0" collapsed="false">
      <c r="A4" s="4" t="n">
        <v>3</v>
      </c>
      <c r="B4" s="4" t="s">
        <v>13</v>
      </c>
      <c r="C4" s="5" t="s">
        <v>12</v>
      </c>
      <c r="D4" s="6"/>
      <c r="E4" s="4" t="b">
        <f aca="false">OR(H4,I4)</f>
        <v>1</v>
      </c>
      <c r="F4" s="5" t="s">
        <v>15</v>
      </c>
      <c r="G4" s="5" t="s">
        <v>15</v>
      </c>
      <c r="H4" s="7" t="b">
        <f aca="false">TRUE()</f>
        <v>1</v>
      </c>
      <c r="I4" s="7" t="b">
        <f aca="false">TRUE()</f>
        <v>1</v>
      </c>
      <c r="J4" s="8" t="s">
        <v>14</v>
      </c>
      <c r="K4" s="6"/>
    </row>
    <row r="5" customFormat="false" ht="15" hidden="false" customHeight="false" outlineLevel="0" collapsed="false">
      <c r="A5" s="4" t="n">
        <v>4</v>
      </c>
      <c r="B5" s="4" t="s">
        <v>16</v>
      </c>
      <c r="C5" s="5" t="s">
        <v>12</v>
      </c>
      <c r="D5" s="6"/>
      <c r="E5" s="4" t="b">
        <f aca="false">OR(H5,I5)</f>
        <v>1</v>
      </c>
      <c r="F5" s="5" t="s">
        <v>17</v>
      </c>
      <c r="G5" s="5" t="s">
        <v>17</v>
      </c>
      <c r="H5" s="7" t="b">
        <f aca="false">TRUE()</f>
        <v>1</v>
      </c>
      <c r="I5" s="7" t="b">
        <f aca="false">TRUE()</f>
        <v>1</v>
      </c>
      <c r="J5" s="8" t="s">
        <v>14</v>
      </c>
      <c r="K5" s="6"/>
    </row>
    <row r="6" customFormat="false" ht="15" hidden="false" customHeight="false" outlineLevel="0" collapsed="false">
      <c r="A6" s="4" t="n">
        <v>5</v>
      </c>
      <c r="B6" s="4" t="s">
        <v>18</v>
      </c>
      <c r="C6" s="5" t="s">
        <v>12</v>
      </c>
      <c r="D6" s="6"/>
      <c r="E6" s="4" t="b">
        <f aca="false">OR(H6,I6)</f>
        <v>0</v>
      </c>
      <c r="F6" s="5" t="s">
        <v>13</v>
      </c>
      <c r="G6" s="5" t="s">
        <v>13</v>
      </c>
      <c r="H6" s="7" t="b">
        <f aca="false">FALSE()</f>
        <v>0</v>
      </c>
      <c r="I6" s="7" t="b">
        <f aca="false">FALSE()</f>
        <v>0</v>
      </c>
      <c r="J6" s="8" t="s">
        <v>14</v>
      </c>
      <c r="K6" s="6"/>
    </row>
    <row r="7" customFormat="false" ht="15" hidden="false" customHeight="false" outlineLevel="0" collapsed="false">
      <c r="A7" s="4" t="n">
        <v>6</v>
      </c>
      <c r="B7" s="4" t="s">
        <v>19</v>
      </c>
      <c r="C7" s="5" t="s">
        <v>20</v>
      </c>
      <c r="D7" s="6"/>
      <c r="E7" s="4" t="b">
        <f aca="false">OR(H7,I7)</f>
        <v>0</v>
      </c>
      <c r="F7" s="5" t="s">
        <v>15</v>
      </c>
      <c r="G7" s="5" t="s">
        <v>15</v>
      </c>
      <c r="H7" s="7" t="b">
        <f aca="false">FALSE()</f>
        <v>0</v>
      </c>
      <c r="I7" s="7" t="b">
        <f aca="false">FALSE()</f>
        <v>0</v>
      </c>
      <c r="J7" s="8" t="s">
        <v>14</v>
      </c>
      <c r="K7" s="6"/>
    </row>
    <row r="8" customFormat="false" ht="15" hidden="false" customHeight="false" outlineLevel="0" collapsed="false">
      <c r="A8" s="4" t="n">
        <v>7</v>
      </c>
      <c r="B8" s="4" t="s">
        <v>21</v>
      </c>
      <c r="C8" s="5" t="s">
        <v>20</v>
      </c>
      <c r="D8" s="6"/>
      <c r="E8" s="4" t="b">
        <f aca="false">OR(H8,I8)</f>
        <v>0</v>
      </c>
      <c r="F8" s="5" t="s">
        <v>13</v>
      </c>
      <c r="G8" s="5" t="s">
        <v>13</v>
      </c>
      <c r="H8" s="7" t="b">
        <f aca="false">FALSE()</f>
        <v>0</v>
      </c>
      <c r="I8" s="7" t="b">
        <f aca="false">FALSE()</f>
        <v>0</v>
      </c>
      <c r="J8" s="8" t="s">
        <v>14</v>
      </c>
      <c r="K8" s="6"/>
    </row>
    <row r="9" customFormat="false" ht="15" hidden="false" customHeight="false" outlineLevel="0" collapsed="false">
      <c r="A9" s="4" t="n">
        <v>8</v>
      </c>
      <c r="B9" s="4" t="s">
        <v>22</v>
      </c>
      <c r="C9" s="5" t="s">
        <v>20</v>
      </c>
      <c r="D9" s="6"/>
      <c r="E9" s="4" t="b">
        <f aca="false">OR(H9,I9)</f>
        <v>0</v>
      </c>
      <c r="F9" s="5" t="s">
        <v>16</v>
      </c>
      <c r="G9" s="5" t="s">
        <v>16</v>
      </c>
      <c r="H9" s="7" t="b">
        <f aca="false">FALSE()</f>
        <v>0</v>
      </c>
      <c r="I9" s="7" t="b">
        <f aca="false">FALSE()</f>
        <v>0</v>
      </c>
      <c r="J9" s="8" t="s">
        <v>14</v>
      </c>
      <c r="K9" s="6"/>
    </row>
    <row r="10" customFormat="false" ht="15" hidden="false" customHeight="false" outlineLevel="0" collapsed="false">
      <c r="A10" s="4" t="n">
        <v>9</v>
      </c>
      <c r="B10" s="4" t="s">
        <v>23</v>
      </c>
      <c r="C10" s="5" t="s">
        <v>24</v>
      </c>
      <c r="D10" s="6"/>
      <c r="E10" s="4" t="b">
        <f aca="false">OR(H10,I10)</f>
        <v>1</v>
      </c>
      <c r="F10" s="5" t="s">
        <v>16</v>
      </c>
      <c r="G10" s="5" t="s">
        <v>16</v>
      </c>
      <c r="H10" s="7" t="b">
        <f aca="false">FALSE()</f>
        <v>0</v>
      </c>
      <c r="I10" s="7" t="b">
        <f aca="false">TRUE()</f>
        <v>1</v>
      </c>
      <c r="J10" s="8" t="s">
        <v>14</v>
      </c>
      <c r="K10" s="6"/>
    </row>
    <row r="11" customFormat="false" ht="15" hidden="false" customHeight="false" outlineLevel="0" collapsed="false">
      <c r="A11" s="4" t="n">
        <v>10</v>
      </c>
      <c r="B11" s="4" t="s">
        <v>25</v>
      </c>
      <c r="C11" s="5" t="s">
        <v>24</v>
      </c>
      <c r="D11" s="6"/>
      <c r="E11" s="4" t="b">
        <f aca="false">OR(H11,I11)</f>
        <v>1</v>
      </c>
      <c r="F11" s="5" t="s">
        <v>16</v>
      </c>
      <c r="G11" s="5" t="s">
        <v>16</v>
      </c>
      <c r="H11" s="7" t="b">
        <f aca="false">FALSE()</f>
        <v>0</v>
      </c>
      <c r="I11" s="7" t="b">
        <f aca="false">TRUE()</f>
        <v>1</v>
      </c>
      <c r="J11" s="8" t="s">
        <v>14</v>
      </c>
      <c r="K11" s="6"/>
    </row>
    <row r="12" customFormat="false" ht="15" hidden="false" customHeight="false" outlineLevel="0" collapsed="false">
      <c r="A12" s="4" t="n">
        <v>11</v>
      </c>
      <c r="B12" s="4" t="s">
        <v>26</v>
      </c>
      <c r="C12" s="5" t="s">
        <v>12</v>
      </c>
      <c r="D12" s="6"/>
      <c r="E12" s="4" t="b">
        <f aca="false">OR(H12,I12)</f>
        <v>1</v>
      </c>
      <c r="F12" s="5" t="s">
        <v>27</v>
      </c>
      <c r="G12" s="5" t="s">
        <v>27</v>
      </c>
      <c r="H12" s="7" t="b">
        <f aca="false">FALSE()</f>
        <v>0</v>
      </c>
      <c r="I12" s="7" t="b">
        <f aca="false">TRUE()</f>
        <v>1</v>
      </c>
      <c r="J12" s="8" t="s">
        <v>14</v>
      </c>
      <c r="K12" s="6"/>
    </row>
    <row r="13" customFormat="false" ht="15" hidden="false" customHeight="false" outlineLevel="0" collapsed="false">
      <c r="A13" s="4" t="n">
        <v>12</v>
      </c>
      <c r="B13" s="4" t="s">
        <v>28</v>
      </c>
      <c r="C13" s="5" t="s">
        <v>12</v>
      </c>
      <c r="D13" s="6"/>
      <c r="E13" s="4" t="b">
        <f aca="false">OR(H13,I13)</f>
        <v>0</v>
      </c>
      <c r="F13" s="5" t="s">
        <v>15</v>
      </c>
      <c r="G13" s="5" t="s">
        <v>15</v>
      </c>
      <c r="H13" s="7" t="b">
        <f aca="false">FALSE()</f>
        <v>0</v>
      </c>
      <c r="I13" s="7" t="b">
        <f aca="false">FALSE()</f>
        <v>0</v>
      </c>
      <c r="J13" s="8" t="s">
        <v>14</v>
      </c>
      <c r="K13" s="6"/>
    </row>
    <row r="14" customFormat="false" ht="15" hidden="false" customHeight="false" outlineLevel="0" collapsed="false">
      <c r="A14" s="4" t="n">
        <v>13</v>
      </c>
      <c r="B14" s="4" t="s">
        <v>29</v>
      </c>
      <c r="C14" s="5" t="s">
        <v>12</v>
      </c>
      <c r="D14" s="6"/>
      <c r="E14" s="4" t="b">
        <f aca="false">OR(H14,I14)</f>
        <v>0</v>
      </c>
      <c r="F14" s="5" t="s">
        <v>13</v>
      </c>
      <c r="G14" s="5" t="s">
        <v>13</v>
      </c>
      <c r="H14" s="7" t="b">
        <f aca="false">FALSE()</f>
        <v>0</v>
      </c>
      <c r="I14" s="7" t="b">
        <f aca="false">FALSE()</f>
        <v>0</v>
      </c>
      <c r="J14" s="8" t="s">
        <v>14</v>
      </c>
      <c r="K14" s="6"/>
    </row>
    <row r="15" customFormat="false" ht="15" hidden="false" customHeight="false" outlineLevel="0" collapsed="false">
      <c r="A15" s="4" t="n">
        <v>14</v>
      </c>
      <c r="B15" s="4" t="s">
        <v>30</v>
      </c>
      <c r="C15" s="5" t="s">
        <v>20</v>
      </c>
      <c r="D15" s="6"/>
      <c r="E15" s="4" t="b">
        <f aca="false">OR(H15,I15)</f>
        <v>1</v>
      </c>
      <c r="F15" s="5" t="s">
        <v>15</v>
      </c>
      <c r="G15" s="5" t="s">
        <v>15</v>
      </c>
      <c r="H15" s="7" t="b">
        <f aca="false">TRUE()</f>
        <v>1</v>
      </c>
      <c r="I15" s="7" t="b">
        <f aca="false">FALSE()</f>
        <v>0</v>
      </c>
      <c r="J15" s="8" t="s">
        <v>14</v>
      </c>
      <c r="K15" s="6"/>
    </row>
    <row r="16" customFormat="false" ht="15" hidden="false" customHeight="false" outlineLevel="0" collapsed="false">
      <c r="A16" s="4" t="n">
        <v>15</v>
      </c>
      <c r="B16" s="4" t="s">
        <v>31</v>
      </c>
      <c r="C16" s="5" t="s">
        <v>20</v>
      </c>
      <c r="D16" s="6"/>
      <c r="E16" s="4" t="b">
        <f aca="false">OR(H16,I16)</f>
        <v>1</v>
      </c>
      <c r="F16" s="5" t="s">
        <v>13</v>
      </c>
      <c r="G16" s="5" t="s">
        <v>13</v>
      </c>
      <c r="H16" s="7" t="b">
        <f aca="false">TRUE()</f>
        <v>1</v>
      </c>
      <c r="I16" s="7" t="b">
        <f aca="false">FALSE()</f>
        <v>0</v>
      </c>
      <c r="J16" s="8" t="s">
        <v>14</v>
      </c>
      <c r="K16" s="6"/>
    </row>
    <row r="17" customFormat="false" ht="15" hidden="false" customHeight="false" outlineLevel="0" collapsed="false">
      <c r="A17" s="4" t="n">
        <v>16</v>
      </c>
      <c r="B17" s="4" t="s">
        <v>32</v>
      </c>
      <c r="C17" s="5" t="s">
        <v>24</v>
      </c>
      <c r="D17" s="6"/>
      <c r="E17" s="4" t="b">
        <f aca="false">OR(H17,I17)</f>
        <v>1</v>
      </c>
      <c r="F17" s="5" t="s">
        <v>33</v>
      </c>
      <c r="G17" s="5" t="s">
        <v>33</v>
      </c>
      <c r="H17" s="7" t="b">
        <f aca="false">TRUE()</f>
        <v>1</v>
      </c>
      <c r="I17" s="7" t="b">
        <f aca="false">TRUE()</f>
        <v>1</v>
      </c>
      <c r="J17" s="8" t="s">
        <v>14</v>
      </c>
      <c r="K17" s="6"/>
    </row>
    <row r="18" customFormat="false" ht="15" hidden="false" customHeight="false" outlineLevel="0" collapsed="false">
      <c r="A18" s="4" t="n">
        <v>17</v>
      </c>
      <c r="B18" s="4" t="s">
        <v>34</v>
      </c>
      <c r="C18" s="5" t="s">
        <v>20</v>
      </c>
      <c r="D18" s="6"/>
      <c r="E18" s="4" t="b">
        <f aca="false">OR(H18,I18)</f>
        <v>1</v>
      </c>
      <c r="F18" s="5" t="s">
        <v>13</v>
      </c>
      <c r="G18" s="5" t="s">
        <v>13</v>
      </c>
      <c r="H18" s="7" t="b">
        <f aca="false">TRUE()</f>
        <v>1</v>
      </c>
      <c r="I18" s="7" t="b">
        <f aca="false">FALSE()</f>
        <v>0</v>
      </c>
      <c r="J18" s="8" t="s">
        <v>14</v>
      </c>
      <c r="K18" s="6"/>
    </row>
    <row r="19" customFormat="false" ht="15" hidden="false" customHeight="false" outlineLevel="0" collapsed="false">
      <c r="A19" s="4" t="n">
        <v>18</v>
      </c>
      <c r="B19" s="4" t="s">
        <v>35</v>
      </c>
      <c r="C19" s="5" t="s">
        <v>20</v>
      </c>
      <c r="D19" s="6"/>
      <c r="E19" s="4" t="b">
        <f aca="false">OR(H19,I19)</f>
        <v>1</v>
      </c>
      <c r="F19" s="5" t="s">
        <v>13</v>
      </c>
      <c r="G19" s="5" t="s">
        <v>13</v>
      </c>
      <c r="H19" s="7" t="b">
        <f aca="false">TRUE()</f>
        <v>1</v>
      </c>
      <c r="I19" s="7" t="b">
        <f aca="false">FALSE()</f>
        <v>0</v>
      </c>
      <c r="J19" s="8" t="s">
        <v>14</v>
      </c>
      <c r="K19" s="6"/>
    </row>
    <row r="20" customFormat="false" ht="15" hidden="false" customHeight="false" outlineLevel="0" collapsed="false">
      <c r="A20" s="4" t="n">
        <v>19</v>
      </c>
      <c r="B20" s="4" t="s">
        <v>36</v>
      </c>
      <c r="C20" s="5" t="s">
        <v>12</v>
      </c>
      <c r="D20" s="6"/>
      <c r="E20" s="4" t="b">
        <f aca="false">OR(H20,I20)</f>
        <v>1</v>
      </c>
      <c r="F20" s="5" t="s">
        <v>13</v>
      </c>
      <c r="G20" s="5" t="s">
        <v>13</v>
      </c>
      <c r="H20" s="7" t="b">
        <f aca="false">TRUE()</f>
        <v>1</v>
      </c>
      <c r="I20" s="7" t="b">
        <f aca="false">FALSE()</f>
        <v>0</v>
      </c>
      <c r="J20" s="8" t="s">
        <v>14</v>
      </c>
      <c r="K20" s="6"/>
    </row>
    <row r="21" customFormat="false" ht="15" hidden="false" customHeight="false" outlineLevel="0" collapsed="false">
      <c r="A21" s="4" t="n">
        <v>20</v>
      </c>
      <c r="B21" s="4" t="s">
        <v>33</v>
      </c>
      <c r="C21" s="5" t="s">
        <v>12</v>
      </c>
      <c r="D21" s="6"/>
      <c r="E21" s="4" t="b">
        <f aca="false">OR(H21,I21)</f>
        <v>1</v>
      </c>
      <c r="F21" s="5" t="s">
        <v>37</v>
      </c>
      <c r="G21" s="5" t="s">
        <v>37</v>
      </c>
      <c r="H21" s="7" t="b">
        <f aca="false">TRUE()</f>
        <v>1</v>
      </c>
      <c r="I21" s="7" t="b">
        <f aca="false">FALSE()</f>
        <v>0</v>
      </c>
      <c r="J21" s="8" t="s">
        <v>14</v>
      </c>
      <c r="K21" s="6"/>
    </row>
    <row r="22" customFormat="false" ht="15" hidden="false" customHeight="false" outlineLevel="0" collapsed="false">
      <c r="A22" s="4" t="n">
        <v>21</v>
      </c>
      <c r="B22" s="4" t="s">
        <v>38</v>
      </c>
      <c r="C22" s="5" t="s">
        <v>20</v>
      </c>
      <c r="D22" s="6"/>
      <c r="E22" s="4" t="b">
        <f aca="false">OR(H22,I22)</f>
        <v>0</v>
      </c>
      <c r="F22" s="5" t="s">
        <v>16</v>
      </c>
      <c r="G22" s="5" t="s">
        <v>16</v>
      </c>
      <c r="H22" s="7" t="b">
        <f aca="false">FALSE()</f>
        <v>0</v>
      </c>
      <c r="I22" s="7" t="b">
        <f aca="false">FALSE()</f>
        <v>0</v>
      </c>
      <c r="J22" s="8" t="s">
        <v>14</v>
      </c>
      <c r="K22" s="6"/>
    </row>
    <row r="23" customFormat="false" ht="15" hidden="false" customHeight="false" outlineLevel="0" collapsed="false">
      <c r="A23" s="4" t="n">
        <v>22</v>
      </c>
      <c r="B23" s="4" t="s">
        <v>39</v>
      </c>
      <c r="C23" s="5" t="s">
        <v>20</v>
      </c>
      <c r="D23" s="6"/>
      <c r="E23" s="4" t="b">
        <f aca="false">OR(H23,I23)</f>
        <v>0</v>
      </c>
      <c r="F23" s="5" t="s">
        <v>16</v>
      </c>
      <c r="G23" s="5" t="s">
        <v>16</v>
      </c>
      <c r="H23" s="7" t="b">
        <f aca="false">FALSE()</f>
        <v>0</v>
      </c>
      <c r="I23" s="7" t="b">
        <f aca="false">FALSE()</f>
        <v>0</v>
      </c>
      <c r="J23" s="8" t="s">
        <v>14</v>
      </c>
      <c r="K23" s="6"/>
    </row>
    <row r="24" customFormat="false" ht="15" hidden="false" customHeight="false" outlineLevel="0" collapsed="false">
      <c r="A24" s="4" t="n">
        <v>23</v>
      </c>
      <c r="B24" s="4" t="s">
        <v>40</v>
      </c>
      <c r="C24" s="5" t="s">
        <v>20</v>
      </c>
      <c r="D24" s="6"/>
      <c r="E24" s="4" t="b">
        <f aca="false">OR(H24,I24)</f>
        <v>1</v>
      </c>
      <c r="F24" s="5" t="s">
        <v>13</v>
      </c>
      <c r="G24" s="5" t="s">
        <v>13</v>
      </c>
      <c r="H24" s="7" t="b">
        <f aca="false">TRUE()</f>
        <v>1</v>
      </c>
      <c r="I24" s="7" t="b">
        <f aca="false">FALSE()</f>
        <v>0</v>
      </c>
      <c r="J24" s="8" t="s">
        <v>14</v>
      </c>
      <c r="K24" s="6"/>
    </row>
    <row r="25" customFormat="false" ht="15" hidden="false" customHeight="false" outlineLevel="0" collapsed="false">
      <c r="A25" s="4" t="n">
        <v>24</v>
      </c>
      <c r="B25" s="4" t="s">
        <v>17</v>
      </c>
      <c r="C25" s="5" t="s">
        <v>41</v>
      </c>
      <c r="D25" s="6"/>
      <c r="E25" s="4" t="b">
        <f aca="false">OR(H25,I25)</f>
        <v>1</v>
      </c>
      <c r="F25" s="5" t="s">
        <v>27</v>
      </c>
      <c r="G25" s="5" t="s">
        <v>27</v>
      </c>
      <c r="H25" s="7" t="b">
        <f aca="false">TRUE()</f>
        <v>1</v>
      </c>
      <c r="I25" s="7" t="b">
        <f aca="false">TRUE()</f>
        <v>1</v>
      </c>
      <c r="J25" s="8" t="s">
        <v>14</v>
      </c>
      <c r="K25" s="6"/>
    </row>
    <row r="26" customFormat="false" ht="15" hidden="false" customHeight="false" outlineLevel="0" collapsed="false">
      <c r="A26" s="4" t="n">
        <v>25</v>
      </c>
      <c r="B26" s="4" t="s">
        <v>37</v>
      </c>
      <c r="C26" s="5" t="s">
        <v>41</v>
      </c>
      <c r="D26" s="6"/>
      <c r="E26" s="4" t="b">
        <f aca="false">OR(H26,I26)</f>
        <v>1</v>
      </c>
      <c r="F26" s="5" t="s">
        <v>16</v>
      </c>
      <c r="G26" s="5" t="s">
        <v>16</v>
      </c>
      <c r="H26" s="7" t="b">
        <f aca="false">TRUE()</f>
        <v>1</v>
      </c>
      <c r="I26" s="7" t="b">
        <f aca="false">TRUE()</f>
        <v>1</v>
      </c>
      <c r="J26" s="8" t="s">
        <v>14</v>
      </c>
      <c r="K26" s="6"/>
    </row>
    <row r="27" customFormat="false" ht="15" hidden="false" customHeight="false" outlineLevel="0" collapsed="false">
      <c r="A27" s="4" t="n">
        <v>26</v>
      </c>
      <c r="B27" s="4" t="s">
        <v>42</v>
      </c>
      <c r="C27" s="5" t="s">
        <v>12</v>
      </c>
      <c r="D27" s="6"/>
      <c r="E27" s="4" t="b">
        <f aca="false">OR(H27,I27)</f>
        <v>0</v>
      </c>
      <c r="F27" s="5" t="s">
        <v>13</v>
      </c>
      <c r="G27" s="5" t="s">
        <v>13</v>
      </c>
      <c r="H27" s="7" t="b">
        <f aca="false">FALSE()</f>
        <v>0</v>
      </c>
      <c r="I27" s="7" t="b">
        <f aca="false">FALSE()</f>
        <v>0</v>
      </c>
      <c r="J27" s="8" t="s">
        <v>14</v>
      </c>
      <c r="K27" s="6"/>
    </row>
    <row r="28" customFormat="false" ht="15" hidden="false" customHeight="false" outlineLevel="0" collapsed="false">
      <c r="A28" s="4" t="n">
        <v>27</v>
      </c>
      <c r="B28" s="4" t="s">
        <v>43</v>
      </c>
      <c r="C28" s="5" t="s">
        <v>12</v>
      </c>
      <c r="D28" s="6"/>
      <c r="E28" s="4" t="b">
        <f aca="false">OR(H28,I28)</f>
        <v>0</v>
      </c>
      <c r="F28" s="5" t="s">
        <v>13</v>
      </c>
      <c r="G28" s="5" t="s">
        <v>13</v>
      </c>
      <c r="H28" s="7" t="b">
        <f aca="false">FALSE()</f>
        <v>0</v>
      </c>
      <c r="I28" s="7" t="b">
        <f aca="false">FALSE()</f>
        <v>0</v>
      </c>
      <c r="J28" s="8" t="s">
        <v>14</v>
      </c>
      <c r="K28" s="6"/>
    </row>
    <row r="29" customFormat="false" ht="15" hidden="false" customHeight="false" outlineLevel="0" collapsed="false">
      <c r="A29" s="4" t="n">
        <v>28</v>
      </c>
      <c r="B29" s="4" t="s">
        <v>44</v>
      </c>
      <c r="C29" s="5" t="s">
        <v>12</v>
      </c>
      <c r="D29" s="6"/>
      <c r="E29" s="4" t="b">
        <f aca="false">OR(H29,I29)</f>
        <v>0</v>
      </c>
      <c r="F29" s="5" t="s">
        <v>13</v>
      </c>
      <c r="G29" s="5" t="s">
        <v>13</v>
      </c>
      <c r="H29" s="7" t="b">
        <f aca="false">FALSE()</f>
        <v>0</v>
      </c>
      <c r="I29" s="7" t="b">
        <f aca="false">FALSE()</f>
        <v>0</v>
      </c>
      <c r="J29" s="8" t="s">
        <v>14</v>
      </c>
      <c r="K29" s="6"/>
    </row>
    <row r="30" customFormat="false" ht="15" hidden="false" customHeight="false" outlineLevel="0" collapsed="false">
      <c r="A30" s="4" t="n">
        <v>29</v>
      </c>
      <c r="B30" s="4" t="s">
        <v>27</v>
      </c>
      <c r="C30" s="5" t="s">
        <v>12</v>
      </c>
      <c r="D30" s="6"/>
      <c r="E30" s="4" t="b">
        <f aca="false">OR(H30,I30)</f>
        <v>1</v>
      </c>
      <c r="F30" s="5" t="s">
        <v>13</v>
      </c>
      <c r="G30" s="5" t="s">
        <v>13</v>
      </c>
      <c r="H30" s="7" t="b">
        <f aca="false">TRUE()</f>
        <v>1</v>
      </c>
      <c r="I30" s="7" t="b">
        <f aca="false">FALSE()</f>
        <v>0</v>
      </c>
      <c r="J30" s="8" t="s">
        <v>14</v>
      </c>
      <c r="K30" s="6"/>
    </row>
    <row r="31" customFormat="false" ht="15" hidden="false" customHeight="false" outlineLevel="0" collapsed="false">
      <c r="A31" s="4" t="n">
        <v>30</v>
      </c>
      <c r="B31" s="4" t="s">
        <v>45</v>
      </c>
      <c r="C31" s="5" t="s">
        <v>20</v>
      </c>
      <c r="D31" s="6"/>
      <c r="E31" s="4" t="b">
        <f aca="false">OR(H31,I31)</f>
        <v>0</v>
      </c>
      <c r="F31" s="5" t="s">
        <v>13</v>
      </c>
      <c r="G31" s="5" t="s">
        <v>13</v>
      </c>
      <c r="H31" s="7" t="b">
        <f aca="false">FALSE()</f>
        <v>0</v>
      </c>
      <c r="I31" s="7" t="b">
        <f aca="false">FALSE()</f>
        <v>0</v>
      </c>
      <c r="J31" s="8" t="s">
        <v>14</v>
      </c>
      <c r="K31" s="6"/>
    </row>
    <row r="32" customFormat="false" ht="15" hidden="false" customHeight="false" outlineLevel="0" collapsed="false">
      <c r="A32" s="4" t="n">
        <v>31</v>
      </c>
      <c r="B32" s="4" t="s">
        <v>46</v>
      </c>
      <c r="C32" s="5" t="s">
        <v>20</v>
      </c>
      <c r="D32" s="6"/>
      <c r="E32" s="4" t="b">
        <f aca="false">OR(H32,I32)</f>
        <v>0</v>
      </c>
      <c r="F32" s="5" t="s">
        <v>16</v>
      </c>
      <c r="G32" s="5" t="s">
        <v>16</v>
      </c>
      <c r="H32" s="7" t="b">
        <f aca="false">FALSE()</f>
        <v>0</v>
      </c>
      <c r="I32" s="7" t="b">
        <f aca="false">FALSE()</f>
        <v>0</v>
      </c>
      <c r="J32" s="8" t="s">
        <v>14</v>
      </c>
      <c r="K32" s="6"/>
    </row>
    <row r="33" customFormat="false" ht="15" hidden="false" customHeight="false" outlineLevel="0" collapsed="false">
      <c r="A33" s="4" t="n">
        <v>32</v>
      </c>
      <c r="B33" s="4" t="s">
        <v>47</v>
      </c>
      <c r="C33" s="5" t="s">
        <v>12</v>
      </c>
      <c r="D33" s="6"/>
      <c r="E33" s="4" t="b">
        <f aca="false">OR(H33,I33)</f>
        <v>0</v>
      </c>
      <c r="F33" s="5" t="s">
        <v>13</v>
      </c>
      <c r="G33" s="5" t="s">
        <v>13</v>
      </c>
      <c r="H33" s="7" t="b">
        <f aca="false">FALSE()</f>
        <v>0</v>
      </c>
      <c r="I33" s="7" t="b">
        <f aca="false">FALSE()</f>
        <v>0</v>
      </c>
      <c r="J33" s="8" t="s">
        <v>14</v>
      </c>
      <c r="K33" s="6"/>
    </row>
  </sheetData>
  <autoFilter ref="A1:K33"/>
  <dataValidations count="4">
    <dataValidation allowBlank="false" errorStyle="stop" operator="between" showDropDown="false" showErrorMessage="false" showInputMessage="false" sqref="J2:J33" type="list">
      <formula1>Status</formula1>
      <formula2>0</formula2>
    </dataValidation>
    <dataValidation allowBlank="true" errorStyle="stop" operator="between" showDropDown="false" showErrorMessage="false" showInputMessage="false" sqref="C2:C33" type="list">
      <formula1>Lists!$G$2:$G$100</formula1>
      <formula2>0</formula2>
    </dataValidation>
    <dataValidation allowBlank="false" errorStyle="stop" operator="between" showDropDown="false" showErrorMessage="false" showInputMessage="false" sqref="H2:I33" type="list">
      <formula1>Lists!$C$2:$C$3</formula1>
      <formula2>0</formula2>
    </dataValidation>
    <dataValidation allowBlank="true" errorStyle="stop" operator="between" showDropDown="false" showErrorMessage="false" showInputMessage="false" sqref="F2:G33" type="list">
      <formula1>Lists!$B$2:$B$33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" activePane="bottomLeft" state="frozen"/>
      <selection pane="topLeft" activeCell="A1" activeCellId="0" sqref="A1"/>
      <selection pane="bottomLeft" activeCell="A37" activeCellId="0" sqref="A37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3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false" outlineLevel="0" max="12" min="10" style="1" width="14"/>
    <col collapsed="false" customWidth="true" hidden="false" outlineLevel="0" max="18" min="13" style="1" width="10"/>
    <col collapsed="false" customWidth="true" hidden="false" outlineLevel="0" max="24" min="19" style="1" width="12"/>
    <col collapsed="false" customWidth="true" hidden="false" outlineLevel="0" max="25" min="25" style="1" width="18"/>
    <col collapsed="false" customWidth="true" hidden="false" outlineLevel="0" max="26" min="26" style="1" width="10"/>
    <col collapsed="false" customWidth="true" hidden="false" outlineLevel="0" max="28" min="27" style="1" width="14"/>
    <col collapsed="false" customWidth="true" hidden="false" outlineLevel="0" max="29" min="29" style="1" width="12"/>
    <col collapsed="false" customWidth="true" hidden="false" outlineLevel="0" max="30" min="30" style="1" width="40"/>
    <col collapsed="false" customWidth="false" hidden="false" outlineLevel="0" max="16384" min="31" style="1" width="8.34"/>
  </cols>
  <sheetData>
    <row r="1" customFormat="false" ht="15" hidden="false" customHeight="false" outlineLevel="0" collapsed="false">
      <c r="A1" s="2" t="s">
        <v>48</v>
      </c>
      <c r="B1" s="2" t="s">
        <v>49</v>
      </c>
      <c r="C1" s="2" t="s">
        <v>50</v>
      </c>
      <c r="D1" s="3" t="s">
        <v>51</v>
      </c>
      <c r="E1" s="3" t="s">
        <v>4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  <c r="T1" s="3" t="s">
        <v>66</v>
      </c>
      <c r="U1" s="3" t="s">
        <v>67</v>
      </c>
      <c r="V1" s="3" t="s">
        <v>68</v>
      </c>
      <c r="W1" s="3" t="s">
        <v>69</v>
      </c>
      <c r="X1" s="3" t="s">
        <v>70</v>
      </c>
      <c r="Y1" s="3" t="s">
        <v>71</v>
      </c>
      <c r="Z1" s="3" t="s">
        <v>72</v>
      </c>
      <c r="AA1" s="3" t="s">
        <v>73</v>
      </c>
      <c r="AB1" s="3" t="s">
        <v>74</v>
      </c>
      <c r="AC1" s="3" t="s">
        <v>75</v>
      </c>
      <c r="AD1" s="3" t="s">
        <v>10</v>
      </c>
    </row>
    <row r="2" customFormat="false" ht="15" hidden="false" customHeight="false" outlineLevel="0" collapsed="false">
      <c r="A2" s="4" t="n">
        <v>1</v>
      </c>
      <c r="B2" s="4" t="s">
        <v>11</v>
      </c>
      <c r="C2" s="4" t="str">
        <f aca="false">B2&amp;"_"&amp;D2</f>
        <v>Anillo_deslizante_Shape</v>
      </c>
      <c r="D2" s="8" t="s">
        <v>76</v>
      </c>
      <c r="E2" s="4" t="b">
        <f aca="false">OR(H2,I2)</f>
        <v>0</v>
      </c>
      <c r="F2" s="8" t="s">
        <v>77</v>
      </c>
      <c r="G2" s="6" t="b">
        <f aca="false">FALSE()</f>
        <v>0</v>
      </c>
      <c r="H2" s="6" t="b">
        <f aca="false">FALSE()</f>
        <v>0</v>
      </c>
      <c r="I2" s="6" t="b">
        <f aca="false">FALSE()</f>
        <v>0</v>
      </c>
      <c r="J2" s="6" t="b">
        <f aca="false">FALSE()</f>
        <v>0</v>
      </c>
      <c r="K2" s="6" t="b">
        <f aca="false">FALSE()</f>
        <v>0</v>
      </c>
      <c r="L2" s="6" t="b">
        <f aca="false">FALSE()</f>
        <v>0</v>
      </c>
      <c r="M2" s="6" t="n">
        <v>0</v>
      </c>
      <c r="N2" s="6" t="n">
        <v>0</v>
      </c>
      <c r="O2" s="6" t="n">
        <v>16.471754</v>
      </c>
      <c r="P2" s="6" t="n">
        <v>0</v>
      </c>
      <c r="Q2" s="6" t="n">
        <v>0</v>
      </c>
      <c r="R2" s="6" t="n">
        <v>0</v>
      </c>
      <c r="S2" s="6" t="n">
        <v>-14.4</v>
      </c>
      <c r="T2" s="6" t="n">
        <v>-14.4</v>
      </c>
      <c r="U2" s="6" t="n">
        <v>-3.078246</v>
      </c>
      <c r="V2" s="6" t="n">
        <v>28.8</v>
      </c>
      <c r="W2" s="6" t="n">
        <v>28.8</v>
      </c>
      <c r="X2" s="6" t="n">
        <v>39.1</v>
      </c>
      <c r="Y2" s="6"/>
      <c r="Z2" s="6"/>
      <c r="AA2" s="6"/>
      <c r="AB2" s="6"/>
      <c r="AC2" s="6"/>
      <c r="AD2" s="6"/>
    </row>
    <row r="3" customFormat="false" ht="15" hidden="false" customHeight="false" outlineLevel="0" collapsed="false">
      <c r="A3" s="4" t="n">
        <v>2</v>
      </c>
      <c r="B3" s="4" t="s">
        <v>15</v>
      </c>
      <c r="C3" s="4" t="str">
        <f aca="false">B3&amp;"_"&amp;D3</f>
        <v>Apoya_base_Shape</v>
      </c>
      <c r="D3" s="8" t="s">
        <v>76</v>
      </c>
      <c r="E3" s="4" t="b">
        <f aca="false">OR(H3,I3)</f>
        <v>1</v>
      </c>
      <c r="F3" s="8" t="s">
        <v>77</v>
      </c>
      <c r="G3" s="6" t="b">
        <f aca="false">TRUE()</f>
        <v>1</v>
      </c>
      <c r="H3" s="6" t="b">
        <f aca="false">TRUE()</f>
        <v>1</v>
      </c>
      <c r="I3" s="6" t="b">
        <f aca="false">TRUE()</f>
        <v>1</v>
      </c>
      <c r="J3" s="6" t="b">
        <f aca="false">TRUE()</f>
        <v>1</v>
      </c>
      <c r="K3" s="6" t="b">
        <f aca="false">TRUE()</f>
        <v>1</v>
      </c>
      <c r="L3" s="6" t="b">
        <f aca="false">TRUE()</f>
        <v>1</v>
      </c>
      <c r="M3" s="6" t="n">
        <v>18.809974</v>
      </c>
      <c r="N3" s="6" t="n">
        <v>0</v>
      </c>
      <c r="O3" s="6" t="n">
        <v>-45.770978</v>
      </c>
      <c r="P3" s="6" t="n">
        <v>0</v>
      </c>
      <c r="Q3" s="6" t="n">
        <v>0</v>
      </c>
      <c r="R3" s="6" t="n">
        <v>0</v>
      </c>
      <c r="S3" s="6" t="n">
        <v>-45.269223</v>
      </c>
      <c r="T3" s="6" t="n">
        <v>-50</v>
      </c>
      <c r="U3" s="6" t="n">
        <v>-61.514778</v>
      </c>
      <c r="V3" s="6" t="n">
        <v>128.158393</v>
      </c>
      <c r="W3" s="6" t="n">
        <v>100</v>
      </c>
      <c r="X3" s="6" t="n">
        <v>31.4876</v>
      </c>
      <c r="Y3" s="6"/>
      <c r="Z3" s="6"/>
      <c r="AA3" s="6"/>
      <c r="AB3" s="6"/>
      <c r="AC3" s="6"/>
      <c r="AD3" s="6"/>
    </row>
    <row r="4" customFormat="false" ht="15" hidden="false" customHeight="false" outlineLevel="0" collapsed="false">
      <c r="A4" s="4" t="n">
        <v>3</v>
      </c>
      <c r="B4" s="4" t="s">
        <v>13</v>
      </c>
      <c r="C4" s="4" t="str">
        <f aca="false">B4&amp;"_"&amp;D4</f>
        <v>Base_Shape</v>
      </c>
      <c r="D4" s="8" t="s">
        <v>76</v>
      </c>
      <c r="E4" s="4" t="b">
        <f aca="false">OR(H4,I4)</f>
        <v>1</v>
      </c>
      <c r="F4" s="8" t="s">
        <v>77</v>
      </c>
      <c r="G4" s="6" t="b">
        <f aca="false">TRUE()</f>
        <v>1</v>
      </c>
      <c r="H4" s="6" t="b">
        <f aca="false">TRUE()</f>
        <v>1</v>
      </c>
      <c r="I4" s="6" t="b">
        <f aca="false">TRUE()</f>
        <v>1</v>
      </c>
      <c r="J4" s="6" t="b">
        <f aca="false">TRUE()</f>
        <v>1</v>
      </c>
      <c r="K4" s="6" t="b">
        <f aca="false">TRUE()</f>
        <v>1</v>
      </c>
      <c r="L4" s="6" t="b">
        <f aca="false">TRUE()</f>
        <v>1</v>
      </c>
      <c r="M4" s="6" t="n">
        <v>17.5</v>
      </c>
      <c r="N4" s="6" t="n">
        <v>0</v>
      </c>
      <c r="O4" s="6" t="n">
        <v>-28.682394</v>
      </c>
      <c r="P4" s="6" t="n">
        <v>0</v>
      </c>
      <c r="Q4" s="6" t="n">
        <v>0</v>
      </c>
      <c r="R4" s="6" t="n">
        <v>0</v>
      </c>
      <c r="S4" s="6" t="n">
        <v>-57.5</v>
      </c>
      <c r="T4" s="6" t="n">
        <v>-60</v>
      </c>
      <c r="U4" s="6" t="n">
        <v>-45.737687</v>
      </c>
      <c r="V4" s="6" t="n">
        <v>150</v>
      </c>
      <c r="W4" s="6" t="n">
        <v>120</v>
      </c>
      <c r="X4" s="6" t="n">
        <v>34.110584</v>
      </c>
      <c r="Y4" s="6"/>
      <c r="Z4" s="6"/>
      <c r="AA4" s="6"/>
      <c r="AB4" s="6"/>
      <c r="AC4" s="6"/>
      <c r="AD4" s="6"/>
    </row>
    <row r="5" customFormat="false" ht="15" hidden="false" customHeight="false" outlineLevel="0" collapsed="false">
      <c r="A5" s="4" t="n">
        <v>4</v>
      </c>
      <c r="B5" s="4" t="s">
        <v>16</v>
      </c>
      <c r="C5" s="4" t="str">
        <f aca="false">B5&amp;"_"&amp;D5</f>
        <v>Cabezal_giratorio_Shape</v>
      </c>
      <c r="D5" s="8" t="s">
        <v>76</v>
      </c>
      <c r="E5" s="4" t="b">
        <f aca="false">OR(H5,I5)</f>
        <v>1</v>
      </c>
      <c r="F5" s="8" t="s">
        <v>77</v>
      </c>
      <c r="G5" s="6" t="b">
        <f aca="false">FALSE()</f>
        <v>0</v>
      </c>
      <c r="H5" s="6" t="b">
        <f aca="false">FALSE()</f>
        <v>0</v>
      </c>
      <c r="I5" s="6" t="b">
        <f aca="false">TRUE()</f>
        <v>1</v>
      </c>
      <c r="J5" s="6" t="b">
        <f aca="false">TRUE()</f>
        <v>1</v>
      </c>
      <c r="K5" s="6" t="b">
        <f aca="false">TRUE()</f>
        <v>1</v>
      </c>
      <c r="L5" s="6" t="b">
        <f aca="false">TRUE()</f>
        <v>1</v>
      </c>
      <c r="M5" s="6" t="n">
        <v>0</v>
      </c>
      <c r="N5" s="6" t="n">
        <v>0</v>
      </c>
      <c r="O5" s="6" t="n">
        <v>35.914016</v>
      </c>
      <c r="P5" s="6" t="n">
        <v>0</v>
      </c>
      <c r="Q5" s="6" t="n">
        <v>0</v>
      </c>
      <c r="R5" s="6" t="n">
        <v>0</v>
      </c>
      <c r="S5" s="6" t="n">
        <v>-66.870964</v>
      </c>
      <c r="T5" s="6" t="n">
        <v>-66.870964</v>
      </c>
      <c r="U5" s="6" t="n">
        <v>8.298032</v>
      </c>
      <c r="V5" s="6" t="n">
        <v>133.741929</v>
      </c>
      <c r="W5" s="6" t="n">
        <v>133.741929</v>
      </c>
      <c r="X5" s="6" t="n">
        <v>55.231968</v>
      </c>
      <c r="Y5" s="6"/>
      <c r="Z5" s="6"/>
      <c r="AA5" s="6"/>
      <c r="AB5" s="6"/>
      <c r="AC5" s="6"/>
      <c r="AD5" s="6"/>
    </row>
    <row r="6" customFormat="false" ht="15" hidden="false" customHeight="false" outlineLevel="0" collapsed="false">
      <c r="A6" s="4" t="n">
        <v>5</v>
      </c>
      <c r="B6" s="4" t="s">
        <v>18</v>
      </c>
      <c r="C6" s="4" t="str">
        <f aca="false">B6&amp;"_"&amp;D6</f>
        <v>Cierre_base_Shape</v>
      </c>
      <c r="D6" s="8" t="s">
        <v>76</v>
      </c>
      <c r="E6" s="4" t="b">
        <f aca="false">OR(H6,I6)</f>
        <v>1</v>
      </c>
      <c r="F6" s="8" t="s">
        <v>77</v>
      </c>
      <c r="G6" s="6" t="b">
        <f aca="false">FALSE()</f>
        <v>0</v>
      </c>
      <c r="H6" s="6" t="b">
        <f aca="false">FALSE()</f>
        <v>0</v>
      </c>
      <c r="I6" s="6" t="b">
        <f aca="false">TRUE()</f>
        <v>1</v>
      </c>
      <c r="J6" s="6" t="b">
        <f aca="false">FALSE()</f>
        <v>0</v>
      </c>
      <c r="K6" s="6" t="b">
        <f aca="false">FALSE()</f>
        <v>0</v>
      </c>
      <c r="L6" s="6" t="b">
        <f aca="false">FALSE()</f>
        <v>0</v>
      </c>
      <c r="M6" s="6" t="n">
        <v>58.353849</v>
      </c>
      <c r="N6" s="6" t="n">
        <v>-0.010907</v>
      </c>
      <c r="O6" s="6" t="n">
        <v>-35.017178</v>
      </c>
      <c r="P6" s="6" t="n">
        <v>0</v>
      </c>
      <c r="Q6" s="6" t="n">
        <v>0</v>
      </c>
      <c r="R6" s="6" t="n">
        <v>0</v>
      </c>
      <c r="S6" s="6" t="n">
        <v>33.193677</v>
      </c>
      <c r="T6" s="6" t="n">
        <v>-12.550415</v>
      </c>
      <c r="U6" s="6" t="n">
        <v>-44.017404</v>
      </c>
      <c r="V6" s="6" t="n">
        <v>50.320346</v>
      </c>
      <c r="W6" s="6" t="n">
        <v>25.079016</v>
      </c>
      <c r="X6" s="6" t="n">
        <v>18.000453</v>
      </c>
      <c r="Y6" s="6"/>
      <c r="Z6" s="6"/>
      <c r="AA6" s="6"/>
      <c r="AB6" s="6"/>
      <c r="AC6" s="6"/>
      <c r="AD6" s="6"/>
    </row>
    <row r="7" customFormat="false" ht="15" hidden="false" customHeight="false" outlineLevel="0" collapsed="false">
      <c r="A7" s="4" t="n">
        <v>6</v>
      </c>
      <c r="B7" s="4" t="s">
        <v>19</v>
      </c>
      <c r="C7" s="4" t="str">
        <f aca="false">B7&amp;"_"&amp;D7</f>
        <v>Conector_imantado_apoya_base_Shape</v>
      </c>
      <c r="D7" s="8" t="s">
        <v>76</v>
      </c>
      <c r="E7" s="4" t="b">
        <f aca="false">OR(H7,I7)</f>
        <v>0</v>
      </c>
      <c r="F7" s="8" t="s">
        <v>77</v>
      </c>
      <c r="G7" s="6" t="b">
        <f aca="false">FALSE()</f>
        <v>0</v>
      </c>
      <c r="H7" s="6" t="b">
        <f aca="false">FALSE()</f>
        <v>0</v>
      </c>
      <c r="I7" s="6" t="b">
        <f aca="false">FALSE()</f>
        <v>0</v>
      </c>
      <c r="J7" s="6" t="b">
        <f aca="false">FALSE()</f>
        <v>0</v>
      </c>
      <c r="K7" s="6" t="b">
        <f aca="false">FALSE()</f>
        <v>0</v>
      </c>
      <c r="L7" s="6" t="b">
        <f aca="false">FALSE()</f>
        <v>0</v>
      </c>
      <c r="M7" s="6" t="n">
        <v>17.501179</v>
      </c>
      <c r="N7" s="6" t="n">
        <v>0</v>
      </c>
      <c r="O7" s="6" t="n">
        <v>-47.37</v>
      </c>
      <c r="P7" s="6" t="n">
        <v>0</v>
      </c>
      <c r="Q7" s="6" t="n">
        <v>0</v>
      </c>
      <c r="R7" s="6" t="n">
        <v>0</v>
      </c>
      <c r="S7" s="6" t="n">
        <v>15.501179</v>
      </c>
      <c r="T7" s="6" t="n">
        <v>-12.22</v>
      </c>
      <c r="U7" s="6" t="n">
        <v>-50.32</v>
      </c>
      <c r="V7" s="6" t="n">
        <v>4</v>
      </c>
      <c r="W7" s="6" t="n">
        <v>24.44</v>
      </c>
      <c r="X7" s="6" t="n">
        <v>5.9</v>
      </c>
      <c r="Y7" s="6"/>
      <c r="Z7" s="6"/>
      <c r="AA7" s="6"/>
      <c r="AB7" s="6"/>
      <c r="AC7" s="6"/>
      <c r="AD7" s="6"/>
    </row>
    <row r="8" customFormat="false" ht="15" hidden="false" customHeight="false" outlineLevel="0" collapsed="false">
      <c r="A8" s="4" t="n">
        <v>7</v>
      </c>
      <c r="B8" s="4" t="s">
        <v>21</v>
      </c>
      <c r="C8" s="4" t="str">
        <f aca="false">B8&amp;"_"&amp;D8</f>
        <v>Conector_imantado_base_Shape</v>
      </c>
      <c r="D8" s="8" t="s">
        <v>76</v>
      </c>
      <c r="E8" s="4" t="b">
        <f aca="false">OR(H8,I8)</f>
        <v>0</v>
      </c>
      <c r="F8" s="8" t="s">
        <v>77</v>
      </c>
      <c r="G8" s="6" t="b">
        <f aca="false">FALSE()</f>
        <v>0</v>
      </c>
      <c r="H8" s="6" t="b">
        <f aca="false">FALSE()</f>
        <v>0</v>
      </c>
      <c r="I8" s="6" t="b">
        <f aca="false">FALSE()</f>
        <v>0</v>
      </c>
      <c r="J8" s="6" t="b">
        <f aca="false">FALSE()</f>
        <v>0</v>
      </c>
      <c r="K8" s="6" t="b">
        <f aca="false">FALSE()</f>
        <v>0</v>
      </c>
      <c r="L8" s="6" t="b">
        <f aca="false">FALSE()</f>
        <v>0</v>
      </c>
      <c r="M8" s="6" t="n">
        <v>17.501179</v>
      </c>
      <c r="N8" s="6" t="n">
        <v>0</v>
      </c>
      <c r="O8" s="6" t="n">
        <v>-42.881053</v>
      </c>
      <c r="P8" s="6" t="n">
        <v>0</v>
      </c>
      <c r="Q8" s="6" t="n">
        <v>0</v>
      </c>
      <c r="R8" s="6" t="n">
        <v>0</v>
      </c>
      <c r="S8" s="6" t="n">
        <v>15.501179</v>
      </c>
      <c r="T8" s="6" t="n">
        <v>-12.22</v>
      </c>
      <c r="U8" s="6" t="n">
        <v>-46.156053</v>
      </c>
      <c r="V8" s="6" t="n">
        <v>4</v>
      </c>
      <c r="W8" s="6" t="n">
        <v>24.44</v>
      </c>
      <c r="X8" s="6" t="n">
        <v>6.55</v>
      </c>
      <c r="Y8" s="6"/>
      <c r="Z8" s="6"/>
      <c r="AA8" s="6"/>
      <c r="AB8" s="6"/>
      <c r="AC8" s="6"/>
      <c r="AD8" s="6"/>
    </row>
    <row r="9" customFormat="false" ht="15" hidden="false" customHeight="false" outlineLevel="0" collapsed="false">
      <c r="A9" s="4" t="n">
        <v>8</v>
      </c>
      <c r="B9" s="4" t="s">
        <v>22</v>
      </c>
      <c r="C9" s="4" t="str">
        <f aca="false">B9&amp;"_"&amp;D9</f>
        <v>ESP_32_Shape</v>
      </c>
      <c r="D9" s="8" t="s">
        <v>76</v>
      </c>
      <c r="E9" s="4" t="b">
        <f aca="false">OR(H9,I9)</f>
        <v>0</v>
      </c>
      <c r="F9" s="8" t="s">
        <v>77</v>
      </c>
      <c r="G9" s="6" t="b">
        <f aca="false">FALSE()</f>
        <v>0</v>
      </c>
      <c r="H9" s="6" t="b">
        <f aca="false">FALSE()</f>
        <v>0</v>
      </c>
      <c r="I9" s="6" t="b">
        <f aca="false">FALSE()</f>
        <v>0</v>
      </c>
      <c r="J9" s="6" t="b">
        <f aca="false">FALSE()</f>
        <v>0</v>
      </c>
      <c r="K9" s="6" t="b">
        <f aca="false">FALSE()</f>
        <v>0</v>
      </c>
      <c r="L9" s="6" t="b">
        <f aca="false">FALSE()</f>
        <v>0</v>
      </c>
      <c r="M9" s="6" t="n">
        <v>17.697369</v>
      </c>
      <c r="N9" s="6" t="n">
        <v>-0.055266</v>
      </c>
      <c r="O9" s="6" t="n">
        <v>38.13461</v>
      </c>
      <c r="P9" s="6" t="n">
        <v>0</v>
      </c>
      <c r="Q9" s="6" t="n">
        <v>0</v>
      </c>
      <c r="R9" s="6" t="n">
        <v>0</v>
      </c>
      <c r="S9" s="6" t="n">
        <v>-7.072631</v>
      </c>
      <c r="T9" s="6" t="n">
        <v>-12.755266</v>
      </c>
      <c r="U9" s="6" t="n">
        <v>32.892317</v>
      </c>
      <c r="V9" s="6" t="n">
        <v>49.54</v>
      </c>
      <c r="W9" s="6" t="n">
        <v>25.4</v>
      </c>
      <c r="X9" s="6" t="n">
        <v>10.484587</v>
      </c>
      <c r="Y9" s="6"/>
      <c r="Z9" s="6"/>
      <c r="AA9" s="6"/>
      <c r="AB9" s="6"/>
      <c r="AC9" s="6"/>
      <c r="AD9" s="6"/>
    </row>
    <row r="10" customFormat="false" ht="15" hidden="false" customHeight="false" outlineLevel="0" collapsed="false">
      <c r="A10" s="4" t="n">
        <v>9</v>
      </c>
      <c r="B10" s="4" t="s">
        <v>23</v>
      </c>
      <c r="C10" s="4" t="str">
        <f aca="false">B10&amp;"_"&amp;D10</f>
        <v>Hall_base_Proximity Sensor</v>
      </c>
      <c r="D10" s="8" t="s">
        <v>78</v>
      </c>
      <c r="E10" s="4" t="b">
        <f aca="false">OR(H10,I10)</f>
        <v>1</v>
      </c>
      <c r="F10" s="8" t="s">
        <v>77</v>
      </c>
      <c r="G10" s="6" t="b">
        <f aca="false">FALSE()</f>
        <v>0</v>
      </c>
      <c r="H10" s="6" t="b">
        <f aca="false">FALSE()</f>
        <v>0</v>
      </c>
      <c r="I10" s="6" t="b">
        <f aca="false">TRUE()</f>
        <v>1</v>
      </c>
      <c r="J10" s="6" t="b">
        <f aca="false">FALSE()</f>
        <v>0</v>
      </c>
      <c r="K10" s="6" t="b">
        <f aca="false">FALSE()</f>
        <v>0</v>
      </c>
      <c r="L10" s="6" t="b">
        <f aca="false">FALSE()</f>
        <v>0</v>
      </c>
      <c r="M10" s="6" t="n">
        <v>0.005</v>
      </c>
      <c r="N10" s="6" t="n">
        <v>23.443114</v>
      </c>
      <c r="O10" s="6" t="n">
        <v>29.479356</v>
      </c>
      <c r="P10" s="6" t="n">
        <v>0</v>
      </c>
      <c r="Q10" s="6" t="n">
        <v>0</v>
      </c>
      <c r="R10" s="6" t="n">
        <v>0</v>
      </c>
      <c r="S10" s="6" t="n">
        <v>-2.160005</v>
      </c>
      <c r="T10" s="6" t="n">
        <v>16.150393</v>
      </c>
      <c r="U10" s="6" t="n">
        <v>28.654041</v>
      </c>
      <c r="V10" s="6" t="n">
        <v>4.33001</v>
      </c>
      <c r="W10" s="6" t="n">
        <v>14.585443</v>
      </c>
      <c r="X10" s="6" t="n">
        <v>1.65063</v>
      </c>
      <c r="Y10" s="6"/>
      <c r="Z10" s="6"/>
      <c r="AA10" s="6"/>
      <c r="AB10" s="6"/>
      <c r="AC10" s="6"/>
      <c r="AD10" s="6"/>
    </row>
    <row r="11" customFormat="false" ht="15" hidden="false" customHeight="false" outlineLevel="0" collapsed="false">
      <c r="A11" s="4" t="n">
        <v>10</v>
      </c>
      <c r="B11" s="4" t="s">
        <v>25</v>
      </c>
      <c r="C11" s="4" t="str">
        <f aca="false">B11&amp;"_"&amp;D11</f>
        <v>Hall_lidar_Proximity Sensor</v>
      </c>
      <c r="D11" s="8" t="s">
        <v>78</v>
      </c>
      <c r="E11" s="4" t="b">
        <f aca="false">OR(H11,I11)</f>
        <v>1</v>
      </c>
      <c r="F11" s="8" t="s">
        <v>77</v>
      </c>
      <c r="G11" s="6" t="b">
        <f aca="false">FALSE()</f>
        <v>0</v>
      </c>
      <c r="H11" s="6" t="b">
        <f aca="false">FALSE()</f>
        <v>0</v>
      </c>
      <c r="I11" s="6" t="b">
        <f aca="false">TRUE()</f>
        <v>1</v>
      </c>
      <c r="J11" s="6" t="b">
        <f aca="false">FALSE()</f>
        <v>0</v>
      </c>
      <c r="K11" s="6" t="b">
        <f aca="false">FALSE()</f>
        <v>0</v>
      </c>
      <c r="L11" s="6" t="b">
        <f aca="false">FALSE()</f>
        <v>0</v>
      </c>
      <c r="M11" s="6" t="n">
        <v>5.431214</v>
      </c>
      <c r="N11" s="6" t="n">
        <v>-18.395145</v>
      </c>
      <c r="O11" s="6" t="n">
        <v>64.450338</v>
      </c>
      <c r="P11" s="6" t="n">
        <v>0</v>
      </c>
      <c r="Q11" s="6" t="n">
        <v>0</v>
      </c>
      <c r="R11" s="6" t="n">
        <v>0</v>
      </c>
      <c r="S11" s="6" t="n">
        <v>-1.861507</v>
      </c>
      <c r="T11" s="6" t="n">
        <v>-20.56015</v>
      </c>
      <c r="U11" s="6" t="n">
        <v>62.675325</v>
      </c>
      <c r="V11" s="6" t="n">
        <v>14.585443</v>
      </c>
      <c r="W11" s="6" t="n">
        <v>4.33001</v>
      </c>
      <c r="X11" s="6" t="n">
        <v>3.550026</v>
      </c>
      <c r="Y11" s="6"/>
      <c r="Z11" s="6"/>
      <c r="AA11" s="6"/>
      <c r="AB11" s="6"/>
      <c r="AC11" s="6"/>
      <c r="AD11" s="6"/>
    </row>
    <row r="12" customFormat="false" ht="15" hidden="false" customHeight="false" outlineLevel="0" collapsed="false">
      <c r="A12" s="4" t="n">
        <v>11</v>
      </c>
      <c r="B12" s="4" t="s">
        <v>26</v>
      </c>
      <c r="C12" s="4" t="str">
        <f aca="false">B12&amp;"_"&amp;D12</f>
        <v>Iman_hall_base_Shape</v>
      </c>
      <c r="D12" s="8" t="s">
        <v>76</v>
      </c>
      <c r="E12" s="4" t="b">
        <f aca="false">OR(H12,I12)</f>
        <v>1</v>
      </c>
      <c r="F12" s="8" t="s">
        <v>77</v>
      </c>
      <c r="G12" s="6" t="b">
        <f aca="false">FALSE()</f>
        <v>0</v>
      </c>
      <c r="H12" s="6" t="b">
        <f aca="false">FALSE()</f>
        <v>0</v>
      </c>
      <c r="I12" s="6" t="b">
        <f aca="false">TRUE()</f>
        <v>1</v>
      </c>
      <c r="J12" s="6" t="b">
        <f aca="false">FALSE()</f>
        <v>0</v>
      </c>
      <c r="K12" s="6" t="b">
        <f aca="false">TRUE()</f>
        <v>1</v>
      </c>
      <c r="L12" s="6" t="b">
        <f aca="false">TRUE()</f>
        <v>1</v>
      </c>
      <c r="M12" s="6" t="n">
        <v>0</v>
      </c>
      <c r="N12" s="6" t="n">
        <v>17.977858</v>
      </c>
      <c r="O12" s="6" t="n">
        <v>26.018062</v>
      </c>
      <c r="P12" s="6" t="n">
        <v>0</v>
      </c>
      <c r="Q12" s="6" t="n">
        <v>0</v>
      </c>
      <c r="R12" s="6" t="n">
        <v>0</v>
      </c>
      <c r="S12" s="6" t="n">
        <v>-1.5</v>
      </c>
      <c r="T12" s="6" t="n">
        <v>16.477858</v>
      </c>
      <c r="U12" s="6" t="n">
        <v>25.518062</v>
      </c>
      <c r="V12" s="6" t="n">
        <v>3</v>
      </c>
      <c r="W12" s="6" t="n">
        <v>3</v>
      </c>
      <c r="X12" s="6" t="n">
        <v>1</v>
      </c>
      <c r="Y12" s="6"/>
      <c r="Z12" s="6"/>
      <c r="AA12" s="6"/>
      <c r="AB12" s="6"/>
      <c r="AC12" s="6"/>
      <c r="AD12" s="6"/>
    </row>
    <row r="13" customFormat="false" ht="15" hidden="false" customHeight="false" outlineLevel="0" collapsed="false">
      <c r="A13" s="4" t="n">
        <v>12</v>
      </c>
      <c r="B13" s="4" t="s">
        <v>28</v>
      </c>
      <c r="C13" s="4" t="str">
        <f aca="false">B13&amp;"_"&amp;D13</f>
        <v>Imanes_apoya_base_Shape</v>
      </c>
      <c r="D13" s="8" t="s">
        <v>76</v>
      </c>
      <c r="E13" s="4" t="b">
        <f aca="false">OR(H13,I13)</f>
        <v>0</v>
      </c>
      <c r="F13" s="8" t="s">
        <v>77</v>
      </c>
      <c r="G13" s="6" t="b">
        <f aca="false">FALSE()</f>
        <v>0</v>
      </c>
      <c r="H13" s="6" t="b">
        <f aca="false">FALSE()</f>
        <v>0</v>
      </c>
      <c r="I13" s="6" t="b">
        <f aca="false">FALSE()</f>
        <v>0</v>
      </c>
      <c r="J13" s="6" t="b">
        <f aca="false">FALSE()</f>
        <v>0</v>
      </c>
      <c r="K13" s="6" t="b">
        <f aca="false">FALSE()</f>
        <v>0</v>
      </c>
      <c r="L13" s="6" t="b">
        <f aca="false">FALSE()</f>
        <v>0</v>
      </c>
      <c r="M13" s="6" t="n">
        <v>17.500986</v>
      </c>
      <c r="N13" s="6" t="n">
        <v>0.00493</v>
      </c>
      <c r="O13" s="6" t="n">
        <v>-46.844149</v>
      </c>
      <c r="P13" s="6" t="n">
        <v>0</v>
      </c>
      <c r="Q13" s="6" t="n">
        <v>0</v>
      </c>
      <c r="R13" s="6" t="n">
        <v>0</v>
      </c>
      <c r="S13" s="6" t="n">
        <v>-35.997791</v>
      </c>
      <c r="T13" s="6" t="n">
        <v>-9.99507</v>
      </c>
      <c r="U13" s="6" t="n">
        <v>-48.345877</v>
      </c>
      <c r="V13" s="6" t="n">
        <v>106.997554</v>
      </c>
      <c r="W13" s="6" t="n">
        <v>20</v>
      </c>
      <c r="X13" s="6" t="n">
        <v>3.003458</v>
      </c>
      <c r="Y13" s="6"/>
      <c r="Z13" s="6"/>
      <c r="AA13" s="6"/>
      <c r="AB13" s="6"/>
      <c r="AC13" s="6"/>
      <c r="AD13" s="6"/>
    </row>
    <row r="14" customFormat="false" ht="15" hidden="false" customHeight="false" outlineLevel="0" collapsed="false">
      <c r="A14" s="4" t="n">
        <v>13</v>
      </c>
      <c r="B14" s="4" t="s">
        <v>29</v>
      </c>
      <c r="C14" s="4" t="str">
        <f aca="false">B14&amp;"_"&amp;D14</f>
        <v>Imanes_base_Shape</v>
      </c>
      <c r="D14" s="8" t="s">
        <v>76</v>
      </c>
      <c r="E14" s="4" t="b">
        <f aca="false">OR(H14,I14)</f>
        <v>0</v>
      </c>
      <c r="F14" s="8" t="s">
        <v>77</v>
      </c>
      <c r="G14" s="6" t="b">
        <f aca="false">FALSE()</f>
        <v>0</v>
      </c>
      <c r="H14" s="6" t="b">
        <f aca="false">FALSE()</f>
        <v>0</v>
      </c>
      <c r="I14" s="6" t="b">
        <f aca="false">FALSE()</f>
        <v>0</v>
      </c>
      <c r="J14" s="6" t="b">
        <f aca="false">FALSE()</f>
        <v>0</v>
      </c>
      <c r="K14" s="6" t="b">
        <f aca="false">FALSE()</f>
        <v>0</v>
      </c>
      <c r="L14" s="6" t="b">
        <f aca="false">FALSE()</f>
        <v>0</v>
      </c>
      <c r="M14" s="6" t="n">
        <v>17.500986</v>
      </c>
      <c r="N14" s="6" t="n">
        <v>0.00493</v>
      </c>
      <c r="O14" s="6" t="n">
        <v>-43.844149</v>
      </c>
      <c r="P14" s="6" t="n">
        <v>0</v>
      </c>
      <c r="Q14" s="6" t="n">
        <v>0</v>
      </c>
      <c r="R14" s="6" t="n">
        <v>0</v>
      </c>
      <c r="S14" s="6" t="n">
        <v>-35.997791</v>
      </c>
      <c r="T14" s="6" t="n">
        <v>-9.99507</v>
      </c>
      <c r="U14" s="6" t="n">
        <v>-45.345877</v>
      </c>
      <c r="V14" s="6" t="n">
        <v>106.997554</v>
      </c>
      <c r="W14" s="6" t="n">
        <v>20</v>
      </c>
      <c r="X14" s="6" t="n">
        <v>3.003458</v>
      </c>
      <c r="Y14" s="6"/>
      <c r="Z14" s="6"/>
      <c r="AA14" s="6"/>
      <c r="AB14" s="6"/>
      <c r="AC14" s="6"/>
      <c r="AD14" s="6"/>
    </row>
    <row r="15" customFormat="false" ht="15" hidden="false" customHeight="false" outlineLevel="0" collapsed="false">
      <c r="A15" s="4" t="n">
        <v>14</v>
      </c>
      <c r="B15" s="4" t="s">
        <v>30</v>
      </c>
      <c r="C15" s="4" t="str">
        <f aca="false">B15&amp;"_"&amp;D15</f>
        <v>Led_apoya_base_Shape</v>
      </c>
      <c r="D15" s="8" t="s">
        <v>76</v>
      </c>
      <c r="E15" s="4" t="b">
        <f aca="false">OR(H15,I15)</f>
        <v>1</v>
      </c>
      <c r="F15" s="8" t="s">
        <v>77</v>
      </c>
      <c r="G15" s="6" t="b">
        <f aca="false">FALSE()</f>
        <v>0</v>
      </c>
      <c r="H15" s="6" t="b">
        <f aca="false">FALSE()</f>
        <v>0</v>
      </c>
      <c r="I15" s="6" t="b">
        <f aca="false">TRUE()</f>
        <v>1</v>
      </c>
      <c r="J15" s="6" t="b">
        <f aca="false">FALSE()</f>
        <v>0</v>
      </c>
      <c r="K15" s="6" t="b">
        <f aca="false">FALSE()</f>
        <v>0</v>
      </c>
      <c r="L15" s="6" t="b">
        <f aca="false">FALSE()</f>
        <v>0</v>
      </c>
      <c r="M15" s="6" t="n">
        <v>-38.967771</v>
      </c>
      <c r="N15" s="6" t="n">
        <v>-1E-006</v>
      </c>
      <c r="O15" s="6" t="n">
        <v>-49.829314</v>
      </c>
      <c r="P15" s="6" t="n">
        <v>0</v>
      </c>
      <c r="Q15" s="6" t="n">
        <v>0</v>
      </c>
      <c r="R15" s="6" t="n">
        <v>0</v>
      </c>
      <c r="S15" s="6" t="n">
        <v>-46.627771</v>
      </c>
      <c r="T15" s="6" t="n">
        <v>-2.400001</v>
      </c>
      <c r="U15" s="6" t="n">
        <v>-52.229314</v>
      </c>
      <c r="V15" s="6" t="n">
        <v>15.32</v>
      </c>
      <c r="W15" s="6" t="n">
        <v>4.8</v>
      </c>
      <c r="X15" s="6" t="n">
        <v>4.8</v>
      </c>
      <c r="Y15" s="6"/>
      <c r="Z15" s="6"/>
      <c r="AA15" s="6"/>
      <c r="AB15" s="6"/>
      <c r="AC15" s="6"/>
      <c r="AD15" s="6"/>
    </row>
    <row r="16" customFormat="false" ht="15" hidden="false" customHeight="false" outlineLevel="0" collapsed="false">
      <c r="A16" s="4" t="n">
        <v>15</v>
      </c>
      <c r="B16" s="4" t="s">
        <v>31</v>
      </c>
      <c r="C16" s="4" t="str">
        <f aca="false">B16&amp;"_"&amp;D16</f>
        <v>Led_base_Shape</v>
      </c>
      <c r="D16" s="8" t="s">
        <v>76</v>
      </c>
      <c r="E16" s="4" t="b">
        <f aca="false">OR(H16,I16)</f>
        <v>1</v>
      </c>
      <c r="F16" s="8" t="s">
        <v>77</v>
      </c>
      <c r="G16" s="6" t="b">
        <f aca="false">FALSE()</f>
        <v>0</v>
      </c>
      <c r="H16" s="6" t="b">
        <f aca="false">FALSE()</f>
        <v>0</v>
      </c>
      <c r="I16" s="6" t="b">
        <f aca="false">TRUE()</f>
        <v>1</v>
      </c>
      <c r="J16" s="6" t="b">
        <f aca="false">FALSE()</f>
        <v>0</v>
      </c>
      <c r="K16" s="6" t="b">
        <f aca="false">FALSE()</f>
        <v>0</v>
      </c>
      <c r="L16" s="6" t="b">
        <f aca="false">FALSE()</f>
        <v>0</v>
      </c>
      <c r="M16" s="6" t="n">
        <v>-38.967771</v>
      </c>
      <c r="N16" s="6" t="n">
        <v>-1E-006</v>
      </c>
      <c r="O16" s="6" t="n">
        <v>-14.110624</v>
      </c>
      <c r="P16" s="6" t="n">
        <v>0</v>
      </c>
      <c r="Q16" s="6" t="n">
        <v>0</v>
      </c>
      <c r="R16" s="6" t="n">
        <v>0</v>
      </c>
      <c r="S16" s="6" t="n">
        <v>-46.627771</v>
      </c>
      <c r="T16" s="6" t="n">
        <v>-2.400001</v>
      </c>
      <c r="U16" s="6" t="n">
        <v>-16.510624</v>
      </c>
      <c r="V16" s="6" t="n">
        <v>15.32</v>
      </c>
      <c r="W16" s="6" t="n">
        <v>4.8</v>
      </c>
      <c r="X16" s="6" t="n">
        <v>4.8</v>
      </c>
      <c r="Y16" s="6"/>
      <c r="Z16" s="6"/>
      <c r="AA16" s="6"/>
      <c r="AB16" s="6"/>
      <c r="AC16" s="6"/>
      <c r="AD16" s="6"/>
    </row>
    <row r="17" customFormat="false" ht="15" hidden="false" customHeight="false" outlineLevel="0" collapsed="false">
      <c r="A17" s="4" t="n">
        <v>16</v>
      </c>
      <c r="B17" s="4" t="s">
        <v>32</v>
      </c>
      <c r="C17" s="4" t="str">
        <f aca="false">B17&amp;"_"&amp;D17</f>
        <v>LIDAR_Proximity Sensor</v>
      </c>
      <c r="D17" s="8" t="s">
        <v>78</v>
      </c>
      <c r="E17" s="4" t="b">
        <f aca="false">OR(H17,I17)</f>
        <v>1</v>
      </c>
      <c r="F17" s="8" t="s">
        <v>77</v>
      </c>
      <c r="G17" s="6" t="b">
        <f aca="false">FALSE()</f>
        <v>0</v>
      </c>
      <c r="H17" s="6" t="b">
        <f aca="false">FALSE()</f>
        <v>0</v>
      </c>
      <c r="I17" s="6" t="b">
        <f aca="false">TRUE()</f>
        <v>1</v>
      </c>
      <c r="J17" s="6" t="b">
        <f aca="false">FALSE()</f>
        <v>0</v>
      </c>
      <c r="K17" s="6" t="b">
        <f aca="false">FALSE()</f>
        <v>0</v>
      </c>
      <c r="L17" s="6" t="b">
        <f aca="false">FALSE()</f>
        <v>0</v>
      </c>
      <c r="M17" s="6" t="n">
        <v>-1.991429</v>
      </c>
      <c r="N17" s="6" t="n">
        <v>0.519943</v>
      </c>
      <c r="O17" s="6" t="n">
        <v>74.528037</v>
      </c>
      <c r="P17" s="6" t="n">
        <v>0</v>
      </c>
      <c r="Q17" s="6" t="n">
        <v>0</v>
      </c>
      <c r="R17" s="6" t="n">
        <v>0</v>
      </c>
      <c r="S17" s="6" t="n">
        <v>-10.586429</v>
      </c>
      <c r="T17" s="6" t="n">
        <v>-21.763511</v>
      </c>
      <c r="U17" s="6" t="n">
        <v>62.936037</v>
      </c>
      <c r="V17" s="6" t="n">
        <v>17.19</v>
      </c>
      <c r="W17" s="6" t="n">
        <v>44.566909</v>
      </c>
      <c r="X17" s="6" t="n">
        <v>23.184</v>
      </c>
      <c r="Y17" s="6"/>
      <c r="Z17" s="6"/>
      <c r="AA17" s="6"/>
      <c r="AB17" s="6"/>
      <c r="AC17" s="6"/>
      <c r="AD17" s="6"/>
    </row>
    <row r="18" customFormat="false" ht="15" hidden="false" customHeight="false" outlineLevel="0" collapsed="false">
      <c r="A18" s="4" t="n">
        <v>17</v>
      </c>
      <c r="B18" s="4" t="s">
        <v>34</v>
      </c>
      <c r="C18" s="4" t="str">
        <f aca="false">B18&amp;"_"&amp;D18</f>
        <v>Micromotor_Shape</v>
      </c>
      <c r="D18" s="8" t="s">
        <v>76</v>
      </c>
      <c r="E18" s="4" t="b">
        <f aca="false">OR(H18,I18)</f>
        <v>1</v>
      </c>
      <c r="F18" s="8" t="s">
        <v>77</v>
      </c>
      <c r="G18" s="6" t="b">
        <f aca="false">FALSE()</f>
        <v>0</v>
      </c>
      <c r="H18" s="6" t="b">
        <f aca="false">FALSE()</f>
        <v>0</v>
      </c>
      <c r="I18" s="6" t="b">
        <f aca="false">TRUE()</f>
        <v>1</v>
      </c>
      <c r="J18" s="6" t="b">
        <f aca="false">FALSE()</f>
        <v>0</v>
      </c>
      <c r="K18" s="6" t="b">
        <f aca="false">FALSE()</f>
        <v>0</v>
      </c>
      <c r="L18" s="6" t="b">
        <f aca="false">FALSE()</f>
        <v>0</v>
      </c>
      <c r="M18" s="6" t="n">
        <v>-0.002523</v>
      </c>
      <c r="N18" s="6" t="n">
        <v>33.741568</v>
      </c>
      <c r="O18" s="6" t="n">
        <v>64.484259</v>
      </c>
      <c r="P18" s="6" t="n">
        <v>0</v>
      </c>
      <c r="Q18" s="6" t="n">
        <v>0</v>
      </c>
      <c r="R18" s="6" t="n">
        <v>0</v>
      </c>
      <c r="S18" s="6" t="n">
        <v>-6.002523</v>
      </c>
      <c r="T18" s="6" t="n">
        <v>23.885851</v>
      </c>
      <c r="U18" s="6" t="n">
        <v>47.684259</v>
      </c>
      <c r="V18" s="6" t="n">
        <v>12</v>
      </c>
      <c r="W18" s="6" t="n">
        <v>19.711433</v>
      </c>
      <c r="X18" s="6" t="n">
        <v>33.6</v>
      </c>
      <c r="Y18" s="6"/>
      <c r="Z18" s="6"/>
      <c r="AA18" s="6"/>
      <c r="AB18" s="6"/>
      <c r="AC18" s="6"/>
      <c r="AD18" s="6"/>
    </row>
    <row r="19" customFormat="false" ht="15" hidden="false" customHeight="false" outlineLevel="0" collapsed="false">
      <c r="A19" s="4" t="n">
        <v>18</v>
      </c>
      <c r="B19" s="4" t="s">
        <v>35</v>
      </c>
      <c r="C19" s="4" t="str">
        <f aca="false">B19&amp;"_"&amp;D19</f>
        <v>NEMA17_Shape</v>
      </c>
      <c r="D19" s="8" t="s">
        <v>76</v>
      </c>
      <c r="E19" s="4" t="b">
        <f aca="false">OR(H19,I19)</f>
        <v>1</v>
      </c>
      <c r="F19" s="8" t="s">
        <v>77</v>
      </c>
      <c r="G19" s="6" t="b">
        <f aca="false">FALSE()</f>
        <v>0</v>
      </c>
      <c r="H19" s="6" t="b">
        <f aca="false">FALSE()</f>
        <v>0</v>
      </c>
      <c r="I19" s="6" t="b">
        <f aca="false">TRUE()</f>
        <v>1</v>
      </c>
      <c r="J19" s="6" t="b">
        <f aca="false">FALSE()</f>
        <v>0</v>
      </c>
      <c r="K19" s="6" t="b">
        <f aca="false">FALSE()</f>
        <v>0</v>
      </c>
      <c r="L19" s="6" t="b">
        <f aca="false">FALSE()</f>
        <v>0</v>
      </c>
      <c r="M19" s="6" t="n">
        <v>51.00774</v>
      </c>
      <c r="N19" s="6" t="n">
        <v>0</v>
      </c>
      <c r="O19" s="6" t="n">
        <v>-2.650396</v>
      </c>
      <c r="P19" s="6" t="n">
        <v>0</v>
      </c>
      <c r="Q19" s="6" t="n">
        <v>0</v>
      </c>
      <c r="R19" s="6" t="n">
        <v>0</v>
      </c>
      <c r="S19" s="6" t="n">
        <v>24.845095</v>
      </c>
      <c r="T19" s="6" t="n">
        <v>-21.168357</v>
      </c>
      <c r="U19" s="6" t="n">
        <v>-32.150396</v>
      </c>
      <c r="V19" s="6" t="n">
        <v>52.325292</v>
      </c>
      <c r="W19" s="6" t="n">
        <v>42.336714</v>
      </c>
      <c r="X19" s="6" t="n">
        <v>59</v>
      </c>
      <c r="Y19" s="6"/>
      <c r="Z19" s="6"/>
      <c r="AA19" s="6"/>
      <c r="AB19" s="6"/>
      <c r="AC19" s="6"/>
      <c r="AD19" s="6"/>
    </row>
    <row r="20" customFormat="false" ht="15" hidden="false" customHeight="false" outlineLevel="0" collapsed="false">
      <c r="A20" s="4" t="n">
        <v>19</v>
      </c>
      <c r="B20" s="4" t="s">
        <v>36</v>
      </c>
      <c r="C20" s="4" t="str">
        <f aca="false">B20&amp;"_"&amp;D20</f>
        <v>Polea_GT2_20D_Shape</v>
      </c>
      <c r="D20" s="8" t="s">
        <v>76</v>
      </c>
      <c r="E20" s="4" t="b">
        <f aca="false">OR(H20,I20)</f>
        <v>1</v>
      </c>
      <c r="F20" s="8" t="s">
        <v>77</v>
      </c>
      <c r="G20" s="6" t="b">
        <f aca="false">FALSE()</f>
        <v>0</v>
      </c>
      <c r="H20" s="6" t="b">
        <f aca="false">FALSE()</f>
        <v>0</v>
      </c>
      <c r="I20" s="6" t="b">
        <f aca="false">TRUE()</f>
        <v>1</v>
      </c>
      <c r="J20" s="6" t="b">
        <f aca="false">FALSE()</f>
        <v>0</v>
      </c>
      <c r="K20" s="6" t="b">
        <f aca="false">FALSE()</f>
        <v>0</v>
      </c>
      <c r="L20" s="6" t="b">
        <f aca="false">FALSE()</f>
        <v>0</v>
      </c>
      <c r="M20" s="6" t="n">
        <v>55.86</v>
      </c>
      <c r="N20" s="6" t="n">
        <v>0</v>
      </c>
      <c r="O20" s="6" t="n">
        <v>17.28</v>
      </c>
      <c r="P20" s="6" t="n">
        <v>0</v>
      </c>
      <c r="Q20" s="6" t="n">
        <v>0</v>
      </c>
      <c r="R20" s="6" t="n">
        <v>0</v>
      </c>
      <c r="S20" s="6" t="n">
        <v>46.26</v>
      </c>
      <c r="T20" s="6" t="n">
        <v>-9.6</v>
      </c>
      <c r="U20" s="6" t="n">
        <v>9.28</v>
      </c>
      <c r="V20" s="6" t="n">
        <v>19.2</v>
      </c>
      <c r="W20" s="6" t="n">
        <v>19.2</v>
      </c>
      <c r="X20" s="6" t="n">
        <v>16</v>
      </c>
      <c r="Y20" s="6"/>
      <c r="Z20" s="6"/>
      <c r="AA20" s="6"/>
      <c r="AB20" s="6"/>
      <c r="AC20" s="6"/>
      <c r="AD20" s="6"/>
    </row>
    <row r="21" customFormat="false" ht="15" hidden="false" customHeight="false" outlineLevel="0" collapsed="false">
      <c r="A21" s="4" t="n">
        <v>20</v>
      </c>
      <c r="B21" s="4" t="s">
        <v>33</v>
      </c>
      <c r="C21" s="4" t="str">
        <f aca="false">B21&amp;"_"&amp;D21</f>
        <v>Porta_lidar_Shape</v>
      </c>
      <c r="D21" s="8" t="s">
        <v>76</v>
      </c>
      <c r="E21" s="4" t="b">
        <f aca="false">OR(H21,I21)</f>
        <v>1</v>
      </c>
      <c r="F21" s="8" t="s">
        <v>77</v>
      </c>
      <c r="G21" s="6" t="b">
        <f aca="false">FALSE()</f>
        <v>0</v>
      </c>
      <c r="H21" s="6" t="b">
        <f aca="false">FALSE()</f>
        <v>0</v>
      </c>
      <c r="I21" s="6" t="b">
        <f aca="false">TRUE()</f>
        <v>1</v>
      </c>
      <c r="J21" s="6" t="b">
        <f aca="false">FALSE()</f>
        <v>0</v>
      </c>
      <c r="K21" s="6" t="b">
        <f aca="false">FALSE()</f>
        <v>0</v>
      </c>
      <c r="L21" s="6" t="b">
        <f aca="false">FALSE()</f>
        <v>0</v>
      </c>
      <c r="M21" s="6" t="n">
        <v>0</v>
      </c>
      <c r="N21" s="6" t="n">
        <v>0.25104</v>
      </c>
      <c r="O21" s="6" t="n">
        <v>77.583125</v>
      </c>
      <c r="P21" s="6" t="n">
        <v>0</v>
      </c>
      <c r="Q21" s="6" t="n">
        <v>0</v>
      </c>
      <c r="R21" s="6" t="n">
        <v>0</v>
      </c>
      <c r="S21" s="6" t="n">
        <v>-15</v>
      </c>
      <c r="T21" s="6" t="n">
        <v>-32.093778</v>
      </c>
      <c r="U21" s="6" t="n">
        <v>62.583125</v>
      </c>
      <c r="V21" s="6" t="n">
        <v>30</v>
      </c>
      <c r="W21" s="6" t="n">
        <v>64.689636</v>
      </c>
      <c r="X21" s="6" t="n">
        <v>30</v>
      </c>
      <c r="Y21" s="6"/>
      <c r="Z21" s="6"/>
      <c r="AA21" s="6"/>
      <c r="AB21" s="6"/>
      <c r="AC21" s="6"/>
      <c r="AD21" s="6"/>
    </row>
    <row r="22" customFormat="false" ht="15" hidden="false" customHeight="false" outlineLevel="0" collapsed="false">
      <c r="A22" s="4" t="n">
        <v>21</v>
      </c>
      <c r="B22" s="4" t="s">
        <v>38</v>
      </c>
      <c r="C22" s="4" t="str">
        <f aca="false">B22&amp;"_"&amp;D22</f>
        <v>Power_12V_Shape</v>
      </c>
      <c r="D22" s="8" t="s">
        <v>76</v>
      </c>
      <c r="E22" s="4" t="b">
        <f aca="false">OR(H22,I22)</f>
        <v>0</v>
      </c>
      <c r="F22" s="8" t="s">
        <v>77</v>
      </c>
      <c r="G22" s="6" t="b">
        <f aca="false">FALSE()</f>
        <v>0</v>
      </c>
      <c r="H22" s="6" t="b">
        <f aca="false">FALSE()</f>
        <v>0</v>
      </c>
      <c r="I22" s="6" t="b">
        <f aca="false">FALSE()</f>
        <v>0</v>
      </c>
      <c r="J22" s="6" t="b">
        <f aca="false">FALSE()</f>
        <v>0</v>
      </c>
      <c r="K22" s="6" t="b">
        <f aca="false">FALSE()</f>
        <v>0</v>
      </c>
      <c r="L22" s="6" t="b">
        <f aca="false">FALSE()</f>
        <v>0</v>
      </c>
      <c r="M22" s="6" t="n">
        <v>57.497389</v>
      </c>
      <c r="N22" s="6" t="n">
        <v>37.343751</v>
      </c>
      <c r="O22" s="6" t="n">
        <v>-26.214407</v>
      </c>
      <c r="P22" s="6" t="n">
        <v>0</v>
      </c>
      <c r="Q22" s="6" t="n">
        <v>0</v>
      </c>
      <c r="R22" s="6" t="n">
        <v>0</v>
      </c>
      <c r="S22" s="6" t="n">
        <v>40.997389</v>
      </c>
      <c r="T22" s="6" t="n">
        <v>34.582944</v>
      </c>
      <c r="U22" s="6" t="n">
        <v>-40.214407</v>
      </c>
      <c r="V22" s="6" t="n">
        <v>33</v>
      </c>
      <c r="W22" s="6" t="n">
        <v>5.521613</v>
      </c>
      <c r="X22" s="6" t="n">
        <v>28</v>
      </c>
      <c r="Y22" s="6"/>
      <c r="Z22" s="6"/>
      <c r="AA22" s="6"/>
      <c r="AB22" s="6"/>
      <c r="AC22" s="6"/>
      <c r="AD22" s="6"/>
    </row>
    <row r="23" customFormat="false" ht="15" hidden="false" customHeight="false" outlineLevel="0" collapsed="false">
      <c r="A23" s="4" t="n">
        <v>22</v>
      </c>
      <c r="B23" s="4" t="s">
        <v>39</v>
      </c>
      <c r="C23" s="4" t="str">
        <f aca="false">B23&amp;"_"&amp;D23</f>
        <v>Power_5V_A_Shape</v>
      </c>
      <c r="D23" s="8" t="s">
        <v>76</v>
      </c>
      <c r="E23" s="4" t="b">
        <f aca="false">OR(H23,I23)</f>
        <v>0</v>
      </c>
      <c r="F23" s="8" t="s">
        <v>77</v>
      </c>
      <c r="G23" s="6" t="b">
        <f aca="false">FALSE()</f>
        <v>0</v>
      </c>
      <c r="H23" s="6" t="b">
        <f aca="false">FALSE()</f>
        <v>0</v>
      </c>
      <c r="I23" s="6" t="b">
        <f aca="false">FALSE()</f>
        <v>0</v>
      </c>
      <c r="J23" s="6" t="b">
        <f aca="false">FALSE()</f>
        <v>0</v>
      </c>
      <c r="K23" s="6" t="b">
        <f aca="false">FALSE()</f>
        <v>0</v>
      </c>
      <c r="L23" s="6" t="b">
        <f aca="false">FALSE()</f>
        <v>0</v>
      </c>
      <c r="M23" s="6" t="n">
        <v>57.462661</v>
      </c>
      <c r="N23" s="6" t="n">
        <v>-37.338641</v>
      </c>
      <c r="O23" s="6" t="n">
        <v>-26.216299</v>
      </c>
      <c r="P23" s="6" t="n">
        <v>0</v>
      </c>
      <c r="Q23" s="6" t="n">
        <v>0</v>
      </c>
      <c r="R23" s="6" t="n">
        <v>0</v>
      </c>
      <c r="S23" s="6" t="n">
        <v>40.962661</v>
      </c>
      <c r="T23" s="6" t="n">
        <v>-40.099448</v>
      </c>
      <c r="U23" s="6" t="n">
        <v>-40.216299</v>
      </c>
      <c r="V23" s="6" t="n">
        <v>33</v>
      </c>
      <c r="W23" s="6" t="n">
        <v>5.521613</v>
      </c>
      <c r="X23" s="6" t="n">
        <v>28</v>
      </c>
      <c r="Y23" s="6"/>
      <c r="Z23" s="6"/>
      <c r="AA23" s="6"/>
      <c r="AB23" s="6"/>
      <c r="AC23" s="6"/>
      <c r="AD23" s="6"/>
    </row>
    <row r="24" customFormat="false" ht="15" hidden="false" customHeight="false" outlineLevel="0" collapsed="false">
      <c r="A24" s="4" t="n">
        <v>23</v>
      </c>
      <c r="B24" s="4" t="s">
        <v>40</v>
      </c>
      <c r="C24" s="4" t="str">
        <f aca="false">B24&amp;"_"&amp;D24</f>
        <v>Reset_base_Shape</v>
      </c>
      <c r="D24" s="8" t="s">
        <v>76</v>
      </c>
      <c r="E24" s="4" t="b">
        <f aca="false">OR(H24,I24)</f>
        <v>1</v>
      </c>
      <c r="F24" s="8" t="s">
        <v>77</v>
      </c>
      <c r="G24" s="6" t="b">
        <f aca="false">FALSE()</f>
        <v>0</v>
      </c>
      <c r="H24" s="6" t="b">
        <f aca="false">FALSE()</f>
        <v>0</v>
      </c>
      <c r="I24" s="6" t="b">
        <f aca="false">TRUE()</f>
        <v>1</v>
      </c>
      <c r="J24" s="6" t="b">
        <f aca="false">FALSE()</f>
        <v>0</v>
      </c>
      <c r="K24" s="6" t="b">
        <f aca="false">FALSE()</f>
        <v>0</v>
      </c>
      <c r="L24" s="6" t="b">
        <f aca="false">FALSE()</f>
        <v>0</v>
      </c>
      <c r="M24" s="6" t="n">
        <v>76.26786</v>
      </c>
      <c r="N24" s="6" t="n">
        <v>26.002344</v>
      </c>
      <c r="O24" s="6" t="n">
        <v>-21.676882</v>
      </c>
      <c r="P24" s="6" t="n">
        <v>0</v>
      </c>
      <c r="Q24" s="6" t="n">
        <v>0</v>
      </c>
      <c r="R24" s="6" t="n">
        <v>0</v>
      </c>
      <c r="S24" s="6" t="n">
        <v>63.66786</v>
      </c>
      <c r="T24" s="6" t="n">
        <v>20.452344</v>
      </c>
      <c r="U24" s="6" t="n">
        <v>-27.226882</v>
      </c>
      <c r="V24" s="6" t="n">
        <v>25.2</v>
      </c>
      <c r="W24" s="6" t="n">
        <v>11.1</v>
      </c>
      <c r="X24" s="6" t="n">
        <v>11.1</v>
      </c>
      <c r="Y24" s="6"/>
      <c r="Z24" s="6"/>
      <c r="AA24" s="6"/>
      <c r="AB24" s="6"/>
      <c r="AC24" s="6"/>
      <c r="AD24" s="6"/>
    </row>
    <row r="25" customFormat="false" ht="15" hidden="false" customHeight="false" outlineLevel="0" collapsed="false">
      <c r="A25" s="4" t="n">
        <v>24</v>
      </c>
      <c r="B25" s="4" t="s">
        <v>17</v>
      </c>
      <c r="C25" s="4" t="str">
        <f aca="false">B25&amp;"_"&amp;D25</f>
        <v>Ruleman_60082RSC3_Shape</v>
      </c>
      <c r="D25" s="8" t="s">
        <v>76</v>
      </c>
      <c r="E25" s="4" t="b">
        <f aca="false">OR(H25,I25)</f>
        <v>1</v>
      </c>
      <c r="F25" s="8" t="s">
        <v>77</v>
      </c>
      <c r="G25" s="6" t="b">
        <f aca="false">FALSE()</f>
        <v>0</v>
      </c>
      <c r="H25" s="6" t="b">
        <f aca="false">FALSE()</f>
        <v>0</v>
      </c>
      <c r="I25" s="6" t="b">
        <f aca="false">TRUE()</f>
        <v>1</v>
      </c>
      <c r="J25" s="6" t="b">
        <f aca="false">FALSE()</f>
        <v>0</v>
      </c>
      <c r="K25" s="6" t="b">
        <f aca="false">FALSE()</f>
        <v>0</v>
      </c>
      <c r="L25" s="6" t="b">
        <f aca="false">FALSE()</f>
        <v>0</v>
      </c>
      <c r="M25" s="6" t="n">
        <v>0</v>
      </c>
      <c r="N25" s="6" t="n">
        <v>0</v>
      </c>
      <c r="O25" s="6" t="n">
        <v>19.03</v>
      </c>
      <c r="P25" s="6" t="n">
        <v>0</v>
      </c>
      <c r="Q25" s="6" t="n">
        <v>0</v>
      </c>
      <c r="R25" s="6" t="n">
        <v>0</v>
      </c>
      <c r="S25" s="6" t="n">
        <v>-34</v>
      </c>
      <c r="T25" s="6" t="n">
        <v>-34</v>
      </c>
      <c r="U25" s="6" t="n">
        <v>11.53</v>
      </c>
      <c r="V25" s="6" t="n">
        <v>68</v>
      </c>
      <c r="W25" s="6" t="n">
        <v>68</v>
      </c>
      <c r="X25" s="6" t="n">
        <v>15</v>
      </c>
      <c r="Y25" s="6"/>
      <c r="Z25" s="6"/>
      <c r="AA25" s="6"/>
      <c r="AB25" s="6"/>
      <c r="AC25" s="6"/>
      <c r="AD25" s="6"/>
    </row>
    <row r="26" customFormat="false" ht="15" hidden="false" customHeight="false" outlineLevel="0" collapsed="false">
      <c r="A26" s="4" t="n">
        <v>24</v>
      </c>
      <c r="B26" s="4" t="s">
        <v>17</v>
      </c>
      <c r="C26" s="4" t="str">
        <f aca="false">B26&amp;"_"&amp;D26</f>
        <v>Ruleman_60082RSC3_Joint</v>
      </c>
      <c r="D26" s="8" t="s">
        <v>79</v>
      </c>
      <c r="E26" s="4" t="b">
        <f aca="false">OR(H26,I26)</f>
        <v>1</v>
      </c>
      <c r="F26" s="8" t="s">
        <v>77</v>
      </c>
      <c r="G26" s="6" t="b">
        <f aca="false">FALSE()</f>
        <v>0</v>
      </c>
      <c r="H26" s="6" t="b">
        <f aca="false">FALSE()</f>
        <v>0</v>
      </c>
      <c r="I26" s="6" t="b">
        <f aca="false">TRUE()</f>
        <v>1</v>
      </c>
      <c r="J26" s="6" t="b">
        <f aca="false">FALSE()</f>
        <v>0</v>
      </c>
      <c r="K26" s="6" t="b">
        <f aca="false">FALSE()</f>
        <v>0</v>
      </c>
      <c r="L26" s="6" t="b">
        <f aca="false">FALSE()</f>
        <v>0</v>
      </c>
      <c r="M26" s="6" t="n">
        <v>0</v>
      </c>
      <c r="N26" s="6" t="n">
        <v>0</v>
      </c>
      <c r="O26" s="6" t="n">
        <v>19.03</v>
      </c>
      <c r="P26" s="6" t="n">
        <v>0</v>
      </c>
      <c r="Q26" s="6" t="n">
        <v>0</v>
      </c>
      <c r="R26" s="6" t="n">
        <v>0</v>
      </c>
      <c r="S26" s="9" t="n">
        <v>-34</v>
      </c>
      <c r="T26" s="9" t="n">
        <v>-34</v>
      </c>
      <c r="U26" s="9" t="n">
        <v>11.53</v>
      </c>
      <c r="V26" s="9" t="n">
        <v>0.02</v>
      </c>
      <c r="W26" s="9" t="n">
        <v>0.02</v>
      </c>
      <c r="X26" s="9" t="n">
        <v>0.15</v>
      </c>
      <c r="Y26" s="10" t="s">
        <v>80</v>
      </c>
      <c r="Z26" s="9"/>
      <c r="AA26" s="9"/>
      <c r="AB26" s="9"/>
      <c r="AC26" s="10" t="s">
        <v>81</v>
      </c>
      <c r="AD26" s="6"/>
    </row>
    <row r="27" customFormat="false" ht="15" hidden="false" customHeight="false" outlineLevel="0" collapsed="false">
      <c r="A27" s="4" t="n">
        <v>25</v>
      </c>
      <c r="B27" s="4" t="s">
        <v>37</v>
      </c>
      <c r="C27" s="4" t="str">
        <f aca="false">B27&amp;"_"&amp;D27</f>
        <v>Rulemanes_696_Shape</v>
      </c>
      <c r="D27" s="8" t="s">
        <v>76</v>
      </c>
      <c r="E27" s="4" t="b">
        <f aca="false">OR(H27,I27)</f>
        <v>1</v>
      </c>
      <c r="F27" s="8" t="s">
        <v>77</v>
      </c>
      <c r="G27" s="6" t="b">
        <f aca="false">FALSE()</f>
        <v>0</v>
      </c>
      <c r="H27" s="6" t="b">
        <f aca="false">FALSE()</f>
        <v>0</v>
      </c>
      <c r="I27" s="6" t="b">
        <f aca="false">TRUE()</f>
        <v>1</v>
      </c>
      <c r="J27" s="6" t="b">
        <f aca="false">FALSE()</f>
        <v>0</v>
      </c>
      <c r="K27" s="6" t="b">
        <f aca="false">FALSE()</f>
        <v>0</v>
      </c>
      <c r="L27" s="6" t="b">
        <f aca="false">FALSE()</f>
        <v>0</v>
      </c>
      <c r="M27" s="6" t="n">
        <v>0</v>
      </c>
      <c r="N27" s="6" t="n">
        <v>-0.000708</v>
      </c>
      <c r="O27" s="6" t="n">
        <v>77.583125</v>
      </c>
      <c r="P27" s="6" t="n">
        <v>0</v>
      </c>
      <c r="Q27" s="6" t="n">
        <v>0</v>
      </c>
      <c r="R27" s="6" t="n">
        <v>0</v>
      </c>
      <c r="S27" s="6" t="n">
        <v>-9</v>
      </c>
      <c r="T27" s="6" t="n">
        <v>-32.593778</v>
      </c>
      <c r="U27" s="6" t="n">
        <v>68.583125</v>
      </c>
      <c r="V27" s="6" t="n">
        <v>18</v>
      </c>
      <c r="W27" s="6" t="n">
        <v>65.186139</v>
      </c>
      <c r="X27" s="6" t="n">
        <v>18</v>
      </c>
      <c r="Y27" s="6"/>
      <c r="Z27" s="6"/>
      <c r="AA27" s="6"/>
      <c r="AB27" s="6"/>
      <c r="AC27" s="6"/>
      <c r="AD27" s="6"/>
    </row>
    <row r="28" customFormat="false" ht="15" hidden="false" customHeight="false" outlineLevel="0" collapsed="false">
      <c r="A28" s="4" t="n">
        <v>25</v>
      </c>
      <c r="B28" s="4" t="s">
        <v>37</v>
      </c>
      <c r="C28" s="4" t="str">
        <f aca="false">B28&amp;"_"&amp;D28</f>
        <v>Rulemanes_696_Joint</v>
      </c>
      <c r="D28" s="8" t="s">
        <v>79</v>
      </c>
      <c r="E28" s="4" t="b">
        <f aca="false">OR(H28,I28)</f>
        <v>1</v>
      </c>
      <c r="F28" s="8" t="s">
        <v>77</v>
      </c>
      <c r="G28" s="6" t="b">
        <f aca="false">FALSE()</f>
        <v>0</v>
      </c>
      <c r="H28" s="6" t="b">
        <f aca="false">FALSE()</f>
        <v>0</v>
      </c>
      <c r="I28" s="6" t="b">
        <f aca="false">TRUE()</f>
        <v>1</v>
      </c>
      <c r="J28" s="6" t="b">
        <f aca="false">FALSE()</f>
        <v>0</v>
      </c>
      <c r="K28" s="6" t="b">
        <f aca="false">FALSE()</f>
        <v>0</v>
      </c>
      <c r="L28" s="6" t="b">
        <f aca="false">FALSE()</f>
        <v>0</v>
      </c>
      <c r="M28" s="6" t="n">
        <v>0</v>
      </c>
      <c r="N28" s="6" t="n">
        <v>-0.000708</v>
      </c>
      <c r="O28" s="6" t="n">
        <v>77.583125</v>
      </c>
      <c r="P28" s="6" t="n">
        <v>0</v>
      </c>
      <c r="Q28" s="6" t="n">
        <v>0</v>
      </c>
      <c r="R28" s="6" t="n">
        <v>0</v>
      </c>
      <c r="S28" s="9" t="n">
        <v>-9</v>
      </c>
      <c r="T28" s="9" t="n">
        <v>-32.593778</v>
      </c>
      <c r="U28" s="9" t="n">
        <v>68.583125</v>
      </c>
      <c r="V28" s="9" t="n">
        <v>0.02</v>
      </c>
      <c r="W28" s="9" t="n">
        <v>0.02</v>
      </c>
      <c r="X28" s="9" t="n">
        <v>0.15</v>
      </c>
      <c r="Y28" s="10" t="s">
        <v>80</v>
      </c>
      <c r="Z28" s="9"/>
      <c r="AA28" s="9"/>
      <c r="AB28" s="9"/>
      <c r="AC28" s="10" t="s">
        <v>81</v>
      </c>
      <c r="AD28" s="6"/>
    </row>
    <row r="29" customFormat="false" ht="15" hidden="false" customHeight="false" outlineLevel="0" collapsed="false">
      <c r="A29" s="4" t="n">
        <v>26</v>
      </c>
      <c r="B29" s="4" t="s">
        <v>42</v>
      </c>
      <c r="C29" s="4" t="str">
        <f aca="false">B29&amp;"_"&amp;D29</f>
        <v>Sujeta_NEMA17_Shape</v>
      </c>
      <c r="D29" s="8" t="s">
        <v>76</v>
      </c>
      <c r="E29" s="4" t="b">
        <f aca="false">OR(H29,I29)</f>
        <v>1</v>
      </c>
      <c r="F29" s="8" t="s">
        <v>77</v>
      </c>
      <c r="G29" s="6" t="b">
        <f aca="false">FALSE()</f>
        <v>0</v>
      </c>
      <c r="H29" s="6" t="b">
        <f aca="false">FALSE()</f>
        <v>0</v>
      </c>
      <c r="I29" s="6" t="b">
        <f aca="false">TRUE()</f>
        <v>1</v>
      </c>
      <c r="J29" s="6" t="b">
        <f aca="false">FALSE()</f>
        <v>0</v>
      </c>
      <c r="K29" s="6" t="b">
        <f aca="false">FALSE()</f>
        <v>0</v>
      </c>
      <c r="L29" s="6" t="b">
        <f aca="false">FALSE()</f>
        <v>0</v>
      </c>
      <c r="M29" s="6" t="n">
        <v>52.524403</v>
      </c>
      <c r="N29" s="6" t="n">
        <v>-0.006494</v>
      </c>
      <c r="O29" s="6" t="n">
        <v>-7.845032</v>
      </c>
      <c r="P29" s="6" t="n">
        <v>0</v>
      </c>
      <c r="Q29" s="6" t="n">
        <v>0</v>
      </c>
      <c r="R29" s="6" t="n">
        <v>0</v>
      </c>
      <c r="S29" s="6" t="n">
        <v>29.855357</v>
      </c>
      <c r="T29" s="6" t="n">
        <v>-30.415429</v>
      </c>
      <c r="U29" s="6" t="n">
        <v>-17.259071</v>
      </c>
      <c r="V29" s="6" t="n">
        <v>45.338092</v>
      </c>
      <c r="W29" s="6" t="n">
        <v>60.817871</v>
      </c>
      <c r="X29" s="6" t="n">
        <v>18.828077</v>
      </c>
      <c r="Y29" s="6"/>
      <c r="Z29" s="6"/>
      <c r="AA29" s="6"/>
      <c r="AB29" s="6"/>
      <c r="AC29" s="6"/>
      <c r="AD29" s="6"/>
    </row>
    <row r="30" customFormat="false" ht="15" hidden="false" customHeight="false" outlineLevel="0" collapsed="false">
      <c r="A30" s="4" t="n">
        <v>27</v>
      </c>
      <c r="B30" s="4" t="s">
        <v>43</v>
      </c>
      <c r="C30" s="4" t="str">
        <f aca="false">B30&amp;"_"&amp;D30</f>
        <v>Sujeta_Ruleman_Shape</v>
      </c>
      <c r="D30" s="8" t="s">
        <v>76</v>
      </c>
      <c r="E30" s="4" t="b">
        <f aca="false">OR(H30,I30)</f>
        <v>0</v>
      </c>
      <c r="F30" s="8" t="s">
        <v>77</v>
      </c>
      <c r="G30" s="6" t="b">
        <f aca="false">FALSE()</f>
        <v>0</v>
      </c>
      <c r="H30" s="6" t="b">
        <f aca="false">FALSE()</f>
        <v>0</v>
      </c>
      <c r="I30" s="6" t="b">
        <f aca="false">FALSE()</f>
        <v>0</v>
      </c>
      <c r="J30" s="6" t="b">
        <f aca="false">FALSE()</f>
        <v>0</v>
      </c>
      <c r="K30" s="6" t="b">
        <f aca="false">FALSE()</f>
        <v>0</v>
      </c>
      <c r="L30" s="6" t="b">
        <f aca="false">FALSE()</f>
        <v>0</v>
      </c>
      <c r="M30" s="6" t="n">
        <v>0.16639</v>
      </c>
      <c r="N30" s="6" t="n">
        <v>-0.996736</v>
      </c>
      <c r="O30" s="6" t="n">
        <v>27.526419</v>
      </c>
      <c r="P30" s="6" t="n">
        <v>0</v>
      </c>
      <c r="Q30" s="6" t="n">
        <v>0</v>
      </c>
      <c r="R30" s="6" t="n">
        <v>0</v>
      </c>
      <c r="S30" s="6" t="n">
        <v>-29.428221</v>
      </c>
      <c r="T30" s="6" t="n">
        <v>-29.594933</v>
      </c>
      <c r="U30" s="6" t="n">
        <v>26.326419</v>
      </c>
      <c r="V30" s="6" t="n">
        <v>59.189223</v>
      </c>
      <c r="W30" s="6" t="n">
        <v>57.196394</v>
      </c>
      <c r="X30" s="6" t="n">
        <v>2.4</v>
      </c>
      <c r="Y30" s="6"/>
      <c r="Z30" s="6"/>
      <c r="AA30" s="6"/>
      <c r="AB30" s="6"/>
      <c r="AC30" s="6"/>
      <c r="AD30" s="6"/>
    </row>
    <row r="31" customFormat="false" ht="15" hidden="false" customHeight="false" outlineLevel="0" collapsed="false">
      <c r="A31" s="4" t="n">
        <v>28</v>
      </c>
      <c r="B31" s="4" t="s">
        <v>44</v>
      </c>
      <c r="C31" s="4" t="str">
        <f aca="false">B31&amp;"_"&amp;D31</f>
        <v>Sujeta_TMC_base_Shape</v>
      </c>
      <c r="D31" s="8" t="s">
        <v>76</v>
      </c>
      <c r="E31" s="4" t="b">
        <f aca="false">OR(H31,I31)</f>
        <v>0</v>
      </c>
      <c r="F31" s="8" t="s">
        <v>77</v>
      </c>
      <c r="G31" s="6" t="b">
        <f aca="false">FALSE()</f>
        <v>0</v>
      </c>
      <c r="H31" s="6" t="b">
        <f aca="false">FALSE()</f>
        <v>0</v>
      </c>
      <c r="I31" s="6" t="b">
        <f aca="false">FALSE()</f>
        <v>0</v>
      </c>
      <c r="J31" s="6" t="b">
        <f aca="false">FALSE()</f>
        <v>0</v>
      </c>
      <c r="K31" s="6" t="b">
        <f aca="false">FALSE()</f>
        <v>0</v>
      </c>
      <c r="L31" s="6" t="b">
        <f aca="false">FALSE()</f>
        <v>0</v>
      </c>
      <c r="M31" s="6" t="n">
        <v>10.934724</v>
      </c>
      <c r="N31" s="6" t="n">
        <v>-34.529524</v>
      </c>
      <c r="O31" s="6" t="n">
        <v>-26.913037</v>
      </c>
      <c r="P31" s="6" t="n">
        <v>0</v>
      </c>
      <c r="Q31" s="6" t="n">
        <v>0</v>
      </c>
      <c r="R31" s="6" t="n">
        <v>0</v>
      </c>
      <c r="S31" s="6" t="n">
        <v>-2.002271</v>
      </c>
      <c r="T31" s="6" t="n">
        <v>-43.677338</v>
      </c>
      <c r="U31" s="6" t="n">
        <v>-33.610288</v>
      </c>
      <c r="V31" s="6" t="n">
        <v>25.873989</v>
      </c>
      <c r="W31" s="6" t="n">
        <v>18.295629</v>
      </c>
      <c r="X31" s="6" t="n">
        <v>13.394502</v>
      </c>
      <c r="Y31" s="6"/>
      <c r="Z31" s="6"/>
      <c r="AA31" s="6"/>
      <c r="AB31" s="6"/>
      <c r="AC31" s="6"/>
      <c r="AD31" s="6"/>
    </row>
    <row r="32" customFormat="false" ht="15" hidden="false" customHeight="false" outlineLevel="0" collapsed="false">
      <c r="A32" s="4" t="n">
        <v>29</v>
      </c>
      <c r="B32" s="4" t="s">
        <v>27</v>
      </c>
      <c r="C32" s="4" t="str">
        <f aca="false">B32&amp;"_"&amp;D32</f>
        <v>Tapa_base_Shape</v>
      </c>
      <c r="D32" s="8" t="s">
        <v>76</v>
      </c>
      <c r="E32" s="4" t="b">
        <f aca="false">OR(H32,I32)</f>
        <v>1</v>
      </c>
      <c r="F32" s="8" t="s">
        <v>77</v>
      </c>
      <c r="G32" s="6" t="b">
        <f aca="false">TRUE()</f>
        <v>1</v>
      </c>
      <c r="H32" s="6" t="b">
        <f aca="false">FALSE()</f>
        <v>0</v>
      </c>
      <c r="I32" s="6" t="b">
        <f aca="false">TRUE()</f>
        <v>1</v>
      </c>
      <c r="J32" s="6" t="b">
        <f aca="false">FALSE()</f>
        <v>0</v>
      </c>
      <c r="K32" s="6" t="b">
        <f aca="false">TRUE()</f>
        <v>1</v>
      </c>
      <c r="L32" s="6" t="b">
        <f aca="false">TRUE()</f>
        <v>1</v>
      </c>
      <c r="M32" s="6" t="n">
        <v>17.5</v>
      </c>
      <c r="N32" s="6" t="n">
        <v>0</v>
      </c>
      <c r="O32" s="6" t="n">
        <v>-8.228899</v>
      </c>
      <c r="P32" s="6" t="n">
        <v>0</v>
      </c>
      <c r="Q32" s="6" t="n">
        <v>0</v>
      </c>
      <c r="R32" s="6" t="n">
        <v>0</v>
      </c>
      <c r="S32" s="6" t="n">
        <v>-57.5</v>
      </c>
      <c r="T32" s="6" t="n">
        <v>-60</v>
      </c>
      <c r="U32" s="6" t="n">
        <v>-43.599551</v>
      </c>
      <c r="V32" s="6" t="n">
        <v>150</v>
      </c>
      <c r="W32" s="6" t="n">
        <v>120</v>
      </c>
      <c r="X32" s="6" t="n">
        <v>70.741305</v>
      </c>
      <c r="Y32" s="6"/>
      <c r="Z32" s="6"/>
      <c r="AA32" s="6"/>
      <c r="AB32" s="6"/>
      <c r="AC32" s="6"/>
      <c r="AD32" s="6"/>
    </row>
    <row r="33" customFormat="false" ht="15" hidden="false" customHeight="false" outlineLevel="0" collapsed="false">
      <c r="A33" s="4" t="n">
        <v>30</v>
      </c>
      <c r="B33" s="4" t="s">
        <v>45</v>
      </c>
      <c r="C33" s="4" t="str">
        <f aca="false">B33&amp;"_"&amp;D33</f>
        <v>TMC_2208_XY_Shape</v>
      </c>
      <c r="D33" s="8" t="s">
        <v>76</v>
      </c>
      <c r="E33" s="4" t="b">
        <f aca="false">OR(H33,I33)</f>
        <v>0</v>
      </c>
      <c r="F33" s="8" t="s">
        <v>77</v>
      </c>
      <c r="G33" s="6" t="b">
        <f aca="false">FALSE()</f>
        <v>0</v>
      </c>
      <c r="H33" s="6" t="b">
        <f aca="false">FALSE()</f>
        <v>0</v>
      </c>
      <c r="I33" s="6" t="b">
        <f aca="false">FALSE()</f>
        <v>0</v>
      </c>
      <c r="J33" s="6" t="b">
        <f aca="false">FALSE()</f>
        <v>0</v>
      </c>
      <c r="K33" s="6" t="b">
        <f aca="false">FALSE()</f>
        <v>0</v>
      </c>
      <c r="L33" s="6" t="b">
        <f aca="false">FALSE()</f>
        <v>0</v>
      </c>
      <c r="M33" s="6" t="n">
        <v>10.934724</v>
      </c>
      <c r="N33" s="6" t="n">
        <v>-34.529524</v>
      </c>
      <c r="O33" s="6" t="n">
        <v>-22.663786</v>
      </c>
      <c r="P33" s="6" t="n">
        <v>0</v>
      </c>
      <c r="Q33" s="6" t="n">
        <v>0</v>
      </c>
      <c r="R33" s="6" t="n">
        <v>0</v>
      </c>
      <c r="S33" s="6" t="n">
        <v>0.774724</v>
      </c>
      <c r="T33" s="6" t="n">
        <v>-42.149524</v>
      </c>
      <c r="U33" s="6" t="n">
        <v>-34.811786</v>
      </c>
      <c r="V33" s="6" t="n">
        <v>20.32</v>
      </c>
      <c r="W33" s="6" t="n">
        <v>15.24</v>
      </c>
      <c r="X33" s="6" t="n">
        <v>24.296</v>
      </c>
      <c r="Y33" s="6"/>
      <c r="Z33" s="6"/>
      <c r="AA33" s="6"/>
      <c r="AB33" s="6"/>
      <c r="AC33" s="6"/>
      <c r="AD33" s="6"/>
    </row>
    <row r="34" customFormat="false" ht="15" hidden="false" customHeight="false" outlineLevel="0" collapsed="false">
      <c r="A34" s="4" t="n">
        <v>31</v>
      </c>
      <c r="B34" s="4" t="s">
        <v>46</v>
      </c>
      <c r="C34" s="4" t="str">
        <f aca="false">B34&amp;"_"&amp;D34</f>
        <v>TMC_2208_Z_Shape</v>
      </c>
      <c r="D34" s="8" t="s">
        <v>76</v>
      </c>
      <c r="E34" s="4" t="b">
        <f aca="false">OR(H34,I34)</f>
        <v>0</v>
      </c>
      <c r="F34" s="8" t="s">
        <v>77</v>
      </c>
      <c r="G34" s="6" t="b">
        <f aca="false">FALSE()</f>
        <v>0</v>
      </c>
      <c r="H34" s="6" t="b">
        <f aca="false">FALSE()</f>
        <v>0</v>
      </c>
      <c r="I34" s="6" t="b">
        <f aca="false">FALSE()</f>
        <v>0</v>
      </c>
      <c r="J34" s="6" t="b">
        <f aca="false">FALSE()</f>
        <v>0</v>
      </c>
      <c r="K34" s="6" t="b">
        <f aca="false">FALSE()</f>
        <v>0</v>
      </c>
      <c r="L34" s="6" t="b">
        <f aca="false">FALSE()</f>
        <v>0</v>
      </c>
      <c r="M34" s="6" t="n">
        <v>-23.870001</v>
      </c>
      <c r="N34" s="6" t="n">
        <v>0.206657</v>
      </c>
      <c r="O34" s="6" t="n">
        <v>46.607676</v>
      </c>
      <c r="P34" s="6" t="n">
        <v>0</v>
      </c>
      <c r="Q34" s="6" t="n">
        <v>0</v>
      </c>
      <c r="R34" s="6" t="n">
        <v>0</v>
      </c>
      <c r="S34" s="6" t="n">
        <v>-31.490001</v>
      </c>
      <c r="T34" s="6" t="n">
        <v>-9.953343</v>
      </c>
      <c r="U34" s="6" t="n">
        <v>34.459676</v>
      </c>
      <c r="V34" s="6" t="n">
        <v>15.24</v>
      </c>
      <c r="W34" s="6" t="n">
        <v>20.32</v>
      </c>
      <c r="X34" s="6" t="n">
        <v>24.296</v>
      </c>
      <c r="Y34" s="6"/>
      <c r="Z34" s="6"/>
      <c r="AA34" s="6"/>
      <c r="AB34" s="6"/>
      <c r="AC34" s="6"/>
      <c r="AD34" s="6"/>
    </row>
    <row r="35" customFormat="false" ht="15" hidden="false" customHeight="false" outlineLevel="0" collapsed="false">
      <c r="A35" s="4" t="n">
        <v>32</v>
      </c>
      <c r="B35" s="4" t="s">
        <v>47</v>
      </c>
      <c r="C35" s="4" t="str">
        <f aca="false">B35&amp;"_"&amp;D35</f>
        <v>Tornillos_base_Shape</v>
      </c>
      <c r="D35" s="8" t="s">
        <v>76</v>
      </c>
      <c r="E35" s="4" t="b">
        <f aca="false">OR(H35,I35)</f>
        <v>0</v>
      </c>
      <c r="F35" s="8" t="s">
        <v>77</v>
      </c>
      <c r="G35" s="6" t="b">
        <f aca="false">FALSE()</f>
        <v>0</v>
      </c>
      <c r="H35" s="6" t="b">
        <f aca="false">FALSE()</f>
        <v>0</v>
      </c>
      <c r="I35" s="6" t="b">
        <f aca="false">FALSE()</f>
        <v>0</v>
      </c>
      <c r="J35" s="6" t="b">
        <f aca="false">FALSE()</f>
        <v>0</v>
      </c>
      <c r="K35" s="6" t="b">
        <f aca="false">FALSE()</f>
        <v>0</v>
      </c>
      <c r="L35" s="6" t="b">
        <f aca="false">FALSE()</f>
        <v>0</v>
      </c>
      <c r="M35" s="6" t="n">
        <v>14.996655</v>
      </c>
      <c r="N35" s="6" t="n">
        <v>0</v>
      </c>
      <c r="O35" s="6" t="n">
        <v>-42.239612</v>
      </c>
      <c r="P35" s="6" t="n">
        <v>0</v>
      </c>
      <c r="Q35" s="6" t="n">
        <v>0</v>
      </c>
      <c r="R35" s="6" t="n">
        <v>0</v>
      </c>
      <c r="S35" s="6" t="n">
        <v>-31.003345</v>
      </c>
      <c r="T35" s="6" t="n">
        <v>-49.5</v>
      </c>
      <c r="U35" s="6" t="n">
        <v>-46.239612</v>
      </c>
      <c r="V35" s="6" t="n">
        <v>92</v>
      </c>
      <c r="W35" s="6" t="n">
        <v>99</v>
      </c>
      <c r="X35" s="6" t="n">
        <v>8</v>
      </c>
      <c r="Y35" s="6"/>
      <c r="Z35" s="6"/>
      <c r="AA35" s="6"/>
      <c r="AB35" s="6"/>
      <c r="AC35" s="6"/>
      <c r="AD35" s="6"/>
    </row>
  </sheetData>
  <autoFilter ref="A1:AD35"/>
  <dataValidations count="5">
    <dataValidation allowBlank="false" errorStyle="stop" operator="between" showDropDown="false" showErrorMessage="false" showInputMessage="false" sqref="D2:D35" type="list">
      <formula1>ObjectType</formula1>
      <formula2>0</formula2>
    </dataValidation>
    <dataValidation allowBlank="false" errorStyle="stop" operator="between" showDropDown="false" showErrorMessage="false" showInputMessage="false" sqref="F2:F35" type="list">
      <formula1>ReferenceFrame</formula1>
      <formula2>0</formula2>
    </dataValidation>
    <dataValidation allowBlank="false" errorStyle="stop" operator="between" showDropDown="false" showErrorMessage="false" showInputMessage="false" sqref="G2:L35 Z2:Z35" type="list">
      <formula1>Boolean</formula1>
      <formula2>0</formula2>
    </dataValidation>
    <dataValidation allowBlank="true" errorStyle="stop" operator="between" showDropDown="false" showErrorMessage="false" showInputMessage="false" sqref="Y2:Y35" type="list">
      <formula1>JointType</formula1>
      <formula2>0</formula2>
    </dataValidation>
    <dataValidation allowBlank="true" errorStyle="stop" operator="between" showDropDown="false" showErrorMessage="false" showInputMessage="false" sqref="AC2:AC35" type="list">
      <formula1>MotorMode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1" width="30"/>
    <col collapsed="false" customWidth="true" hidden="false" outlineLevel="0" max="2" min="2" style="11" width="12"/>
    <col collapsed="false" customWidth="true" hidden="false" outlineLevel="0" max="4" min="3" style="11" width="22"/>
    <col collapsed="false" customWidth="true" hidden="false" outlineLevel="0" max="8" min="5" style="11" width="18"/>
  </cols>
  <sheetData>
    <row r="1" customFormat="false" ht="15" hidden="false" customHeight="false" outlineLevel="0" collapsed="false">
      <c r="A1" s="11" t="s">
        <v>49</v>
      </c>
      <c r="B1" s="11" t="s">
        <v>82</v>
      </c>
      <c r="C1" s="11" t="s">
        <v>83</v>
      </c>
      <c r="D1" s="11" t="s">
        <v>51</v>
      </c>
      <c r="E1" s="11" t="s">
        <v>52</v>
      </c>
      <c r="F1" s="11" t="s">
        <v>71</v>
      </c>
      <c r="G1" s="11" t="s">
        <v>9</v>
      </c>
      <c r="H1" s="11" t="s">
        <v>84</v>
      </c>
    </row>
    <row r="2" customFormat="false" ht="15" hidden="false" customHeight="false" outlineLevel="0" collapsed="false">
      <c r="A2" s="11" t="s">
        <v>11</v>
      </c>
      <c r="B2" s="11" t="b">
        <f aca="false">TRUE()</f>
        <v>1</v>
      </c>
      <c r="C2" s="11" t="s">
        <v>12</v>
      </c>
      <c r="D2" s="11" t="s">
        <v>76</v>
      </c>
      <c r="E2" s="11" t="s">
        <v>77</v>
      </c>
      <c r="F2" s="11" t="s">
        <v>85</v>
      </c>
      <c r="G2" s="11" t="s">
        <v>86</v>
      </c>
      <c r="H2" s="11" t="s">
        <v>81</v>
      </c>
    </row>
    <row r="3" customFormat="false" ht="15" hidden="false" customHeight="false" outlineLevel="0" collapsed="false">
      <c r="A3" s="11" t="s">
        <v>15</v>
      </c>
      <c r="B3" s="11" t="b">
        <f aca="false">FALSE()</f>
        <v>0</v>
      </c>
      <c r="C3" s="11" t="s">
        <v>87</v>
      </c>
      <c r="D3" s="11" t="s">
        <v>79</v>
      </c>
      <c r="E3" s="11" t="s">
        <v>88</v>
      </c>
      <c r="F3" s="11" t="s">
        <v>80</v>
      </c>
      <c r="G3" s="11" t="s">
        <v>14</v>
      </c>
      <c r="H3" s="11" t="s">
        <v>89</v>
      </c>
    </row>
    <row r="4" customFormat="false" ht="15" hidden="false" customHeight="false" outlineLevel="0" collapsed="false">
      <c r="A4" s="11" t="s">
        <v>13</v>
      </c>
      <c r="C4" s="11" t="s">
        <v>20</v>
      </c>
      <c r="D4" s="11" t="s">
        <v>90</v>
      </c>
      <c r="F4" s="11" t="s">
        <v>91</v>
      </c>
      <c r="G4" s="11" t="s">
        <v>92</v>
      </c>
      <c r="H4" s="11" t="s">
        <v>93</v>
      </c>
    </row>
    <row r="5" customFormat="false" ht="15" hidden="false" customHeight="false" outlineLevel="0" collapsed="false">
      <c r="A5" s="11" t="s">
        <v>16</v>
      </c>
      <c r="C5" s="11" t="s">
        <v>24</v>
      </c>
      <c r="D5" s="11" t="s">
        <v>94</v>
      </c>
      <c r="G5" s="11" t="s">
        <v>95</v>
      </c>
    </row>
    <row r="6" customFormat="false" ht="15" hidden="false" customHeight="false" outlineLevel="0" collapsed="false">
      <c r="A6" s="11" t="s">
        <v>18</v>
      </c>
      <c r="C6" s="11" t="s">
        <v>41</v>
      </c>
      <c r="D6" s="11" t="s">
        <v>96</v>
      </c>
      <c r="G6" s="11" t="s">
        <v>97</v>
      </c>
    </row>
    <row r="7" customFormat="false" ht="15" hidden="false" customHeight="false" outlineLevel="0" collapsed="false">
      <c r="A7" s="11" t="s">
        <v>19</v>
      </c>
      <c r="C7" s="11" t="s">
        <v>98</v>
      </c>
      <c r="D7" s="11" t="s">
        <v>99</v>
      </c>
    </row>
    <row r="8" customFormat="false" ht="15" hidden="false" customHeight="false" outlineLevel="0" collapsed="false">
      <c r="A8" s="11" t="s">
        <v>21</v>
      </c>
      <c r="C8" s="11" t="s">
        <v>100</v>
      </c>
      <c r="D8" s="11" t="s">
        <v>78</v>
      </c>
    </row>
    <row r="9" customFormat="false" ht="15" hidden="false" customHeight="false" outlineLevel="0" collapsed="false">
      <c r="A9" s="11" t="s">
        <v>22</v>
      </c>
      <c r="C9" s="11" t="s">
        <v>101</v>
      </c>
      <c r="D9" s="11" t="s">
        <v>102</v>
      </c>
    </row>
    <row r="10" customFormat="false" ht="15" hidden="false" customHeight="false" outlineLevel="0" collapsed="false">
      <c r="A10" s="11" t="s">
        <v>23</v>
      </c>
      <c r="D10" s="11" t="s">
        <v>103</v>
      </c>
    </row>
    <row r="11" customFormat="false" ht="15" hidden="false" customHeight="false" outlineLevel="0" collapsed="false">
      <c r="A11" s="11" t="s">
        <v>25</v>
      </c>
      <c r="D11" s="11" t="s">
        <v>104</v>
      </c>
    </row>
    <row r="12" customFormat="false" ht="15" hidden="false" customHeight="false" outlineLevel="0" collapsed="false">
      <c r="A12" s="11" t="s">
        <v>26</v>
      </c>
      <c r="D12" s="11" t="s">
        <v>105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1" t="s">
        <v>30</v>
      </c>
    </row>
    <row r="16" customFormat="false" ht="15" hidden="false" customHeight="false" outlineLevel="0" collapsed="false">
      <c r="A16" s="11" t="s">
        <v>31</v>
      </c>
    </row>
    <row r="17" customFormat="false" ht="15" hidden="false" customHeight="false" outlineLevel="0" collapsed="false">
      <c r="A17" s="11" t="s">
        <v>32</v>
      </c>
    </row>
    <row r="18" customFormat="false" ht="15" hidden="false" customHeight="false" outlineLevel="0" collapsed="false">
      <c r="A18" s="11" t="s">
        <v>34</v>
      </c>
    </row>
    <row r="19" customFormat="false" ht="15" hidden="false" customHeight="false" outlineLevel="0" collapsed="false">
      <c r="A19" s="11" t="s">
        <v>35</v>
      </c>
    </row>
    <row r="20" customFormat="false" ht="15" hidden="false" customHeight="false" outlineLevel="0" collapsed="false">
      <c r="A20" s="11" t="s">
        <v>36</v>
      </c>
    </row>
    <row r="21" customFormat="false" ht="15" hidden="false" customHeight="false" outlineLevel="0" collapsed="false">
      <c r="A21" s="11" t="s">
        <v>33</v>
      </c>
    </row>
    <row r="22" customFormat="false" ht="15" hidden="false" customHeight="false" outlineLevel="0" collapsed="false">
      <c r="A22" s="11" t="s">
        <v>38</v>
      </c>
    </row>
    <row r="23" customFormat="false" ht="15" hidden="false" customHeight="false" outlineLevel="0" collapsed="false">
      <c r="A23" s="11" t="s">
        <v>39</v>
      </c>
    </row>
    <row r="24" customFormat="false" ht="15" hidden="false" customHeight="false" outlineLevel="0" collapsed="false">
      <c r="A24" s="11" t="s">
        <v>40</v>
      </c>
    </row>
    <row r="25" customFormat="false" ht="15" hidden="false" customHeight="false" outlineLevel="0" collapsed="false">
      <c r="A25" s="11" t="s">
        <v>17</v>
      </c>
    </row>
    <row r="26" customFormat="false" ht="15" hidden="false" customHeight="false" outlineLevel="0" collapsed="false">
      <c r="A26" s="11" t="s">
        <v>37</v>
      </c>
    </row>
    <row r="27" customFormat="false" ht="15" hidden="false" customHeight="false" outlineLevel="0" collapsed="false">
      <c r="A27" s="11" t="s">
        <v>42</v>
      </c>
    </row>
    <row r="28" customFormat="false" ht="15" hidden="false" customHeight="false" outlineLevel="0" collapsed="false">
      <c r="A28" s="11" t="s">
        <v>43</v>
      </c>
    </row>
    <row r="29" customFormat="false" ht="15" hidden="false" customHeight="false" outlineLevel="0" collapsed="false">
      <c r="A29" s="11" t="s">
        <v>44</v>
      </c>
    </row>
    <row r="30" customFormat="false" ht="15" hidden="false" customHeight="false" outlineLevel="0" collapsed="false">
      <c r="A30" s="11" t="s">
        <v>27</v>
      </c>
    </row>
    <row r="31" customFormat="false" ht="15" hidden="false" customHeight="false" outlineLevel="0" collapsed="false">
      <c r="A31" s="11" t="s">
        <v>45</v>
      </c>
    </row>
    <row r="32" customFormat="false" ht="15" hidden="false" customHeight="false" outlineLevel="0" collapsed="false">
      <c r="A32" s="11" t="s">
        <v>46</v>
      </c>
    </row>
    <row r="33" customFormat="false" ht="15" hidden="false" customHeight="false" outlineLevel="0" collapsed="false">
      <c r="A33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Engineering</cp:category>
  <dcterms:created xsi:type="dcterms:W3CDTF">2026-07-15T18:24:59Z</dcterms:created>
  <dc:creator>GSPL-01_Rhino_Extractor</dc:creator>
  <dc:description>Assembly definition table automatically generated by GSPL-01_Rhino_Extractor.</dc:description>
  <cp:keywords>GSPL Rhino CoppeliaSim Assembly LiDAR</cp:keywords>
  <dc:language>es-AR</dc:language>
  <cp:lastModifiedBy/>
  <dcterms:modified xsi:type="dcterms:W3CDTF">2026-07-19T21:12:42Z</dcterms:modified>
  <cp:revision>4</cp:revision>
  <dc:subject>GIAR Simulation Pipeline for LiDAR</dc:subject>
  <dc:title>GSPL Assembly Table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